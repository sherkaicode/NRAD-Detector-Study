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  <sheet state="visible" name="m_t_had" sheetId="2" r:id="rId6"/>
    <sheet state="visible" name="m_t_lep" sheetId="3" r:id="rId7"/>
    <sheet state="visible" name="m_tt" sheetId="4" r:id="rId8"/>
    <sheet state="visible" name="b-jet multiplicity" sheetId="5" r:id="rId9"/>
    <sheet state="visible" name="Leading b-jet eta" sheetId="6" r:id="rId10"/>
    <sheet state="visible" name="N-LargeRjets" sheetId="7" r:id="rId11"/>
    <sheet state="visible" name="pt-LargeRjets" sheetId="8" r:id="rId12"/>
    <sheet state="visible" name="Lepton pT (res)" sheetId="9" r:id="rId13"/>
    <sheet state="visible" name="MET (res)" sheetId="10" r:id="rId14"/>
    <sheet state="visible" name="Jet Multiplicity (res)" sheetId="11" r:id="rId15"/>
    <sheet state="visible" name="Jet pT (res)" sheetId="12" r:id="rId16"/>
    <sheet state="visible" name="Lepton pT (bost)" sheetId="13" r:id="rId17"/>
    <sheet state="visible" name="Lepton eta(bost)" sheetId="14" r:id="rId18"/>
  </sheets>
  <definedNames/>
  <calcPr/>
</workbook>
</file>

<file path=xl/sharedStrings.xml><?xml version="1.0" encoding="utf-8"?>
<sst xmlns="http://schemas.openxmlformats.org/spreadsheetml/2006/main" count="639" uniqueCount="562">
  <si>
    <t>x, y</t>
  </si>
  <si>
    <t>1.501123595505618, 124303.79746835443</t>
  </si>
  <si>
    <t>0.9955849889624724, 7049.180327868852</t>
  </si>
  <si>
    <t>4, 71689.49771689498</t>
  </si>
  <si>
    <t>281.7460317460317, 83.6734693877551</t>
  </si>
  <si>
    <t>30.327868852459005, 4.878048780487802</t>
  </si>
  <si>
    <t>2.5033707865168537, 124303.79746835443</t>
  </si>
  <si>
    <t>2.002207505518764, 1300.5464480874316</t>
  </si>
  <si>
    <t>5.001801801801802, 41552.511415525114</t>
  </si>
  <si>
    <t>384.92063492063494, 368.36734693877554</t>
  </si>
  <si>
    <t>41.803278688524586, 4.878048780487802</t>
  </si>
  <si>
    <t>2.5033707865168537, 16624.472573839663</t>
  </si>
  <si>
    <t>3, 10.928961748634038</t>
  </si>
  <si>
    <t>6.003603603603604, 18356.164383561645</t>
  </si>
  <si>
    <t>464.2857142857142, 393.8775510204082</t>
  </si>
  <si>
    <t>53.278688524590166, 4.878048780487802</t>
  </si>
  <si>
    <t>3.501123595505618, 16624.472573839663</t>
  </si>
  <si>
    <t>0.9955849889624724, 1191.256830601093</t>
  </si>
  <si>
    <t>6.998198198198198, 6849.31506849315</t>
  </si>
  <si>
    <t>547.6190476190476, 289.795918367347</t>
  </si>
  <si>
    <t>66.39344262295083, 27.64227642276424</t>
  </si>
  <si>
    <t>3.50561797752809, 1434.5991561181436</t>
  </si>
  <si>
    <t>1.9977924944812362, 273.2240437158471</t>
  </si>
  <si>
    <t>8, 3196.347031963469</t>
  </si>
  <si>
    <t>642.8571428571429, 184.69387755102042</t>
  </si>
  <si>
    <t>76.22950819672131, 66.66666666666666</t>
  </si>
  <si>
    <t>4.503370786516854, 1434.5991561181436</t>
  </si>
  <si>
    <t>4, 10136.986301369863</t>
  </si>
  <si>
    <t>742.063492063492, 109.18367346938776</t>
  </si>
  <si>
    <t>90.98360655737704, 141.46341463414635</t>
  </si>
  <si>
    <t>5.001801801801802, 4840.182648401826</t>
  </si>
  <si>
    <t>853.1746031746031, 62.244897959183675</t>
  </si>
  <si>
    <t>102.45901639344262, 281.3008130081301</t>
  </si>
  <si>
    <t>5.996396396396396, 2100.456621004567</t>
  </si>
  <si>
    <t>976.1904761904761, 33.673469387755105</t>
  </si>
  <si>
    <t>114.75409836065573, 466.6666666666667</t>
  </si>
  <si>
    <t>-2.4545454545454546, 6060.606060606061</t>
  </si>
  <si>
    <t>312.5964010282776, 93.26039387308533</t>
  </si>
  <si>
    <t>6.998198198198198, 821.9178082191793</t>
  </si>
  <si>
    <t>1111.111111111111, 18.367346938775512</t>
  </si>
  <si>
    <t>126.22950819672131, 674.7967479674796</t>
  </si>
  <si>
    <t>-2.3506493506493507, 7727.272727272728</t>
  </si>
  <si>
    <t>337.2750642673522, 70.41575492341356</t>
  </si>
  <si>
    <t>7.992792792792793, 456.6210045662083</t>
  </si>
  <si>
    <t>1250, 10.204081632653057</t>
  </si>
  <si>
    <t>138.52459016393442, 889.430894308943</t>
  </si>
  <si>
    <t>-2.2467532467532467, 9090.909090909092</t>
  </si>
  <si>
    <t>364.01028277634964, 53.87308533916849</t>
  </si>
  <si>
    <t>2162.6984126984125, 3.0612244897959187</t>
  </si>
  <si>
    <t>150.81967213114754, 1104.0650406504064</t>
  </si>
  <si>
    <t>-2.1493506493506493, 10303.030303030304</t>
  </si>
  <si>
    <t>386.6323907455013, 40.21881838074398</t>
  </si>
  <si>
    <t>289.68253968253964, 16.326530612244895</t>
  </si>
  <si>
    <t>161.47540983606558, 1289.4308943089432</t>
  </si>
  <si>
    <t>-2.051948051948052, 12121.21212121212</t>
  </si>
  <si>
    <t>412.3393316195373, 30.240700218818382</t>
  </si>
  <si>
    <t>26.172607879924954, 19020.618556701033</t>
  </si>
  <si>
    <t>384.92063492063494, 37.755102040816325</t>
  </si>
  <si>
    <t>173.77049180327867, 1217.8861788617887</t>
  </si>
  <si>
    <t>-1.948051948051948, 13636.363636363636</t>
  </si>
  <si>
    <t>438.04627249357327, 23.413566739606125</t>
  </si>
  <si>
    <t>28.611632270168858, 16649.484536082477</t>
  </si>
  <si>
    <t>456.3492063492064, 38.775510204081634</t>
  </si>
  <si>
    <t>186.0655737704918, 873.170731707317</t>
  </si>
  <si>
    <t>-1.8506493506493507, 15757.575757575756</t>
  </si>
  <si>
    <t>461.6966580976864, 17.37417943107221</t>
  </si>
  <si>
    <t>32.5515947467167, 13092.783505154639</t>
  </si>
  <si>
    <t>551.5873015873016, 31.632653061224488</t>
  </si>
  <si>
    <t>198.36065573770492, 590.2439024390244</t>
  </si>
  <si>
    <t>-1.7467532467532467, 18333.333333333332</t>
  </si>
  <si>
    <t>487.4035989717224, 13.172866520787746</t>
  </si>
  <si>
    <t>36.11632270168856, 11391.752577319588</t>
  </si>
  <si>
    <t>638.8888888888889, 24.48979591836735</t>
  </si>
  <si>
    <t>211.47540983606558, 463.4146341463415</t>
  </si>
  <si>
    <t>-1.655844155844156, 19848.484848484848</t>
  </si>
  <si>
    <t>524.4215938303341, 8.971553610503284</t>
  </si>
  <si>
    <t>38.74296435272045, 10773.19587628866</t>
  </si>
  <si>
    <t>742.063492063492, 16.326530612244895</t>
  </si>
  <si>
    <t>221.31147540983608, 395.1219512195122</t>
  </si>
  <si>
    <t>-1.551948051948052, 23030.30303030303</t>
  </si>
  <si>
    <t>574.8071979434447, 5.295404814004378</t>
  </si>
  <si>
    <t>40.99437148217636, 10103.092783505155</t>
  </si>
  <si>
    <t>857.1428571428571, 11.224489795918359</t>
  </si>
  <si>
    <t>233.60655737704917, 336.5853658536586</t>
  </si>
  <si>
    <t>-1.4545454545454546, 23636.363636363636</t>
  </si>
  <si>
    <t>649.8714652956298, 2.9321663019693673</t>
  </si>
  <si>
    <t>44.9343339587242, 8969.072164948453</t>
  </si>
  <si>
    <t>972.2222222222222, 7.142857142857139</t>
  </si>
  <si>
    <t>245.9016393442623, 291.0569105691057</t>
  </si>
  <si>
    <t>-1.3506493506493507, 27727.272727272724</t>
  </si>
  <si>
    <t>749.6143958868895, 1.6192560175054709</t>
  </si>
  <si>
    <t>48.686679174484055, 8144.329896907217</t>
  </si>
  <si>
    <t>1107.142857142857, 5.102040816326522</t>
  </si>
  <si>
    <t>258.1967213114754, 261.7886178861789</t>
  </si>
  <si>
    <t>-1.2532467532467533, 30757.575757575756</t>
  </si>
  <si>
    <t>851.413881748072, 1.0940919037199137</t>
  </si>
  <si>
    <t>52.4390243902439, 7577.319587628866</t>
  </si>
  <si>
    <t>1261.904761904762, 2.040816326530603</t>
  </si>
  <si>
    <t>269.672131147541, 226.0162601626016</t>
  </si>
  <si>
    <t>-1.1493506493506493, 32424.242424242424</t>
  </si>
  <si>
    <t>950.1285347043702, 0.8315098468271351</t>
  </si>
  <si>
    <t>57.5046904315197, 6701.030927835051</t>
  </si>
  <si>
    <t>2119.0476190476193, 3.0612244897959187</t>
  </si>
  <si>
    <t>281.1475409836066, 206.5040650406504</t>
  </si>
  <si>
    <t>-1.051948051948052, 34393.93939393939</t>
  </si>
  <si>
    <t>313.6246786632391, 14.485776805251643</t>
  </si>
  <si>
    <t>62.570356472795496, 6185.567010309278</t>
  </si>
  <si>
    <t>293.44262295081967, 183.739837398374</t>
  </si>
  <si>
    <t>-0.9545454545454546, 35454.545454545456</t>
  </si>
  <si>
    <t>339.33161953727506, 11.072210065645516</t>
  </si>
  <si>
    <t>67.6360225140713, 5618.556701030928</t>
  </si>
  <si>
    <t>305.7377049180328, 157.72357723577235</t>
  </si>
  <si>
    <t>-0.8506493506493507, 37878.78787878787</t>
  </si>
  <si>
    <t>364.01028277634964, 9.49671772428884</t>
  </si>
  <si>
    <t>72.5140712945591, 5103.092783505154</t>
  </si>
  <si>
    <t>318.0327868852459, 138.21138211382114</t>
  </si>
  <si>
    <t>-0.7532467532467533, 39242.42424242424</t>
  </si>
  <si>
    <t>387.6606683804627, 7.13347921225383</t>
  </si>
  <si>
    <t>78.89305816135084, 4484.5360824742265</t>
  </si>
  <si>
    <t>90.84249084249085, 37.70491803278688</t>
  </si>
  <si>
    <t>329.5081967213115, 125.20325203252033</t>
  </si>
  <si>
    <t>-0.6558441558441557, 41515.15151515151</t>
  </si>
  <si>
    <t>414.39588688946014, 5.820568927789935</t>
  </si>
  <si>
    <t>87.3358348968105, 3659.7938144329896</t>
  </si>
  <si>
    <t>103.2967032967033, 281.1475409836066</t>
  </si>
  <si>
    <t>341.8032786885246, 115.44715447154472</t>
  </si>
  <si>
    <t>-0.5519480519480517, 42575.75757575757</t>
  </si>
  <si>
    <t>439.0745501285347, 5.0328227571115995</t>
  </si>
  <si>
    <t>98.96810506566604, 2783.505154639175</t>
  </si>
  <si>
    <t>114.28571428571429, 568.8524590163934</t>
  </si>
  <si>
    <t>354.0983606557377, 99.1869918699187</t>
  </si>
  <si>
    <t>-0.45454545454545436, 43484.84848484848</t>
  </si>
  <si>
    <t>462.7249357326478, 3.719912472647703</t>
  </si>
  <si>
    <t>114.35272045028142, 1958.7628865979382</t>
  </si>
  <si>
    <t>126.73992673992674, 812.2950819672132</t>
  </si>
  <si>
    <t>365.5737704918033, 95.9349593495935</t>
  </si>
  <si>
    <t>-0.35064935064935043, 44242.42424242424</t>
  </si>
  <si>
    <t>487.4035989717224, 2.6695842450765888</t>
  </si>
  <si>
    <t>138.74296435272043, 2525.773195876289</t>
  </si>
  <si>
    <t>139.1941391941392, 1037.295081967213</t>
  </si>
  <si>
    <t>378.688524590164, 82.92682926829269</t>
  </si>
  <si>
    <t>-0.25324675324675305, 45454.54545454545</t>
  </si>
  <si>
    <t>525.4498714652956, 2.40700218818381</t>
  </si>
  <si>
    <t>26.36022514071295, 3092.783505154639</t>
  </si>
  <si>
    <t>149.45054945054946, 1258.606557377049</t>
  </si>
  <si>
    <t>389.344262295082, 79.67479674796748</t>
  </si>
  <si>
    <t>-0.14935064935064912, 45909.090909090904</t>
  </si>
  <si>
    <t>574.8071979434447, 1.6192560175054709</t>
  </si>
  <si>
    <t>28.611632270168858, 2628.865979381443</t>
  </si>
  <si>
    <t>161.9047619047619, 1420.9016393442623</t>
  </si>
  <si>
    <t>403.27868852459017, 73.17073170731707</t>
  </si>
  <si>
    <t>-0.05194805194805174, 46363.63636363636</t>
  </si>
  <si>
    <t>647.8149100257069, 0.8315098468271351</t>
  </si>
  <si>
    <t>32.36397748592871, 1855.6701030927834</t>
  </si>
  <si>
    <t>175.0915750915751, 1343.4426229508197</t>
  </si>
  <si>
    <t>413.11475409836066, 66.66666666666666</t>
  </si>
  <si>
    <t>0.045454545454545414, 45606.0606060606</t>
  </si>
  <si>
    <t>36.11632270168856, 1546.3917525773195</t>
  </si>
  <si>
    <t>186.8131868131868, 1074.1803278688524</t>
  </si>
  <si>
    <t>426.2295081967213, 63.414634146341456</t>
  </si>
  <si>
    <t>0.14935064935064934, 45909.090909090904</t>
  </si>
  <si>
    <t>38.74296435272045, 1391.7525773195875</t>
  </si>
  <si>
    <t>198.53479853479854, 801.2295081967213</t>
  </si>
  <si>
    <t>437.70491803278685, 56.91056910569105</t>
  </si>
  <si>
    <t>0.24675324675324672, 45454.54545454545</t>
  </si>
  <si>
    <t>41.18198874296435, 1237.1134020618556</t>
  </si>
  <si>
    <t>210.98901098901098, 598.360655737705</t>
  </si>
  <si>
    <t>450, 47.15447154471545</t>
  </si>
  <si>
    <t>0.35064935064935066, 44090.90909090909</t>
  </si>
  <si>
    <t>44.9343339587242, 1030.9278350515465</t>
  </si>
  <si>
    <t>222.71062271062272, 450.8196721311475</t>
  </si>
  <si>
    <t>463.11475409836066, 47.15447154471545</t>
  </si>
  <si>
    <t>0.44805194805194803, 43484.84848484848</t>
  </si>
  <si>
    <t>48.686679174484055, 927.8350515463917</t>
  </si>
  <si>
    <t>233.6996336996337, 358.60655737704917</t>
  </si>
  <si>
    <t>473.7704918032787, 40.650406504065046</t>
  </si>
  <si>
    <t>0.5454545454545454, 43030.303030303025</t>
  </si>
  <si>
    <t>27.5, 2815.3846153846152</t>
  </si>
  <si>
    <t>52.4390243902439, 876.2886597938141</t>
  </si>
  <si>
    <t>246.8864468864469, 277.45901639344265</t>
  </si>
  <si>
    <t>485.24590163934425, 37.398373983739845</t>
  </si>
  <si>
    <t>0.6493506493506493, 41515.15151515151</t>
  </si>
  <si>
    <t>32.5, 2753.846153846154</t>
  </si>
  <si>
    <t>57.129455909943715, 670.1030927835054</t>
  </si>
  <si>
    <t>258.6080586080586, 218.44262295081967</t>
  </si>
  <si>
    <t>499.1803278688525, 37.398373983739845</t>
  </si>
  <si>
    <t>0.7467532467532467, 39545.454545454544</t>
  </si>
  <si>
    <t>37.5, 2553.846153846154</t>
  </si>
  <si>
    <t>62.38273921200751, 670.1030927835054</t>
  </si>
  <si>
    <t>270.3296703296703, 177.8688524590164</t>
  </si>
  <si>
    <t>510.65573770491807, 30.89430894308944</t>
  </si>
  <si>
    <t>0.8506493506493507, 38333.33333333333</t>
  </si>
  <si>
    <t>42.35294117647059, 2307.6923076923076</t>
  </si>
  <si>
    <t>67.4484052532833, 567.0103092783502</t>
  </si>
  <si>
    <t>282.05128205128204, 144.672131147541</t>
  </si>
  <si>
    <t>521.311475409836, 27.64227642276424</t>
  </si>
  <si>
    <t>0.948051948051948, 35909.09090909091</t>
  </si>
  <si>
    <t>47.35294117647059, 2076.923076923077</t>
  </si>
  <si>
    <t>72.5140712945591, 515.4639175257735</t>
  </si>
  <si>
    <t>294.5054945054945, 115.16393442622952</t>
  </si>
  <si>
    <t>535.2459016393443, 27.64227642276424</t>
  </si>
  <si>
    <t>1.051948051948052, 34545.454545454544</t>
  </si>
  <si>
    <t>52.35294117647059, 1907.6923076923076</t>
  </si>
  <si>
    <t>78.89305816135084, 412.37113402061823</t>
  </si>
  <si>
    <t>306.2271062271062, 96.72131147540983</t>
  </si>
  <si>
    <t>546.7213114754098, 24.39024390243904</t>
  </si>
  <si>
    <t>1.1493506493506493, 32424.242424242424</t>
  </si>
  <si>
    <t>57.352941176470594, 1715.3846153846155</t>
  </si>
  <si>
    <t>87.5234521575985, 360.8247422680415</t>
  </si>
  <si>
    <t>317.94871794871796, 81.9672131147541</t>
  </si>
  <si>
    <t>557.377049180328, 24.39024390243904</t>
  </si>
  <si>
    <t>1.2532467532467533, 30454.545454545452</t>
  </si>
  <si>
    <t>62.352941176470594, 1546.1538461538462</t>
  </si>
  <si>
    <t>98.59287054409006, 309.2783505154639</t>
  </si>
  <si>
    <t>329.6703296703297, 67.21311475409837</t>
  </si>
  <si>
    <t>572.1311475409836, 21.138211382113838</t>
  </si>
  <si>
    <t>1.3441558441558445, 27575.757575757576</t>
  </si>
  <si>
    <t>67.3529411764706, 1369.2307692307693</t>
  </si>
  <si>
    <t>113.78986866791745, 206.18556701030957</t>
  </si>
  <si>
    <t>342.12454212454213, 56.147540983606575</t>
  </si>
  <si>
    <t>585.2459016393443, 14.634146341463406</t>
  </si>
  <si>
    <t>1.4480519480519485, 23939.393939393936</t>
  </si>
  <si>
    <t>74.85294117647058, 1115.3846153846152</t>
  </si>
  <si>
    <t>138.55534709193245, 360.8247422680415</t>
  </si>
  <si>
    <t>354.57875457875457, 48.7704918032787</t>
  </si>
  <si>
    <t>594.2622950819673, 281.3008130081301</t>
  </si>
  <si>
    <t>1.5454545454545459, 23333.333333333332</t>
  </si>
  <si>
    <t>84.85294117647058, 838.4615384615385</t>
  </si>
  <si>
    <t>366.30036630036625, 41.39344262295083</t>
  </si>
  <si>
    <t>1.6493506493506498, 19696.969696969696</t>
  </si>
  <si>
    <t>95, 630.7692307692307</t>
  </si>
  <si>
    <t>378.02197802197804, 34.016393442622956</t>
  </si>
  <si>
    <t>1.7532467532467533, 17575.757575757576</t>
  </si>
  <si>
    <t>112.5, 800</t>
  </si>
  <si>
    <t>36.054421768707485, 71.73594132029339</t>
  </si>
  <si>
    <t>389.7435897435897, 30.327868852459034</t>
  </si>
  <si>
    <t>1.850649350649351, 15454.545454545454</t>
  </si>
  <si>
    <t>27.205882352941174, 530.7692307692307</t>
  </si>
  <si>
    <t>63.26530612244898, 61.76039119804401</t>
  </si>
  <si>
    <t>402.9304029304029, 26.639344262295083</t>
  </si>
  <si>
    <t>61.47540983606558, 8.130081300813004</t>
  </si>
  <si>
    <t>1.9480519480519485, 13333.333333333332</t>
  </si>
  <si>
    <t>32.35294117647059, 423.0769230769231</t>
  </si>
  <si>
    <t>88.43537414965986, 49.82885085574573</t>
  </si>
  <si>
    <t>414.6520146520146, 22.95081967213116</t>
  </si>
  <si>
    <t>79.50819672131148, 21.138211382113838</t>
  </si>
  <si>
    <t>2.045454545454546, 11666.666666666666</t>
  </si>
  <si>
    <t>37.5, 315.38461538461536</t>
  </si>
  <si>
    <t>112.92517006802721, 39.46210268948656</t>
  </si>
  <si>
    <t>425.64102564102564, 0.8196721311475414</t>
  </si>
  <si>
    <t>90.1639344262295, 30.89430894308944</t>
  </si>
  <si>
    <t>2.14935064935065, 10303.030303030304</t>
  </si>
  <si>
    <t>42.35294117647059, 261.53846153846155</t>
  </si>
  <si>
    <t>138.0952380952381, 30.073349633251834</t>
  </si>
  <si>
    <t>438.0952380952381, 11.885245901639337</t>
  </si>
  <si>
    <t>102.45901639344262, 47.15447154471545</t>
  </si>
  <si>
    <t>2.2532467532467537, 9090.909090909092</t>
  </si>
  <si>
    <t>47.35294117647059, 230.76923076923077</t>
  </si>
  <si>
    <t>161.22448979591837, 22.836185819070906</t>
  </si>
  <si>
    <t>449.8168498168498, 11.885245901639337</t>
  </si>
  <si>
    <t>113.11475409836065, 60.162601626016254</t>
  </si>
  <si>
    <t>2.3441558441558445, 7727.272727272728</t>
  </si>
  <si>
    <t>52.35294117647059, 207.69230769230768</t>
  </si>
  <si>
    <t>187.07482993197277, 17.163814180929094</t>
  </si>
  <si>
    <t>461.53846153846155, 4.508196721311492</t>
  </si>
  <si>
    <t>125.40983606557377, 76.42276422764228</t>
  </si>
  <si>
    <t>2.4480519480519485, 6060.606060606061</t>
  </si>
  <si>
    <t>57.352941176470594, 184.61538461538458</t>
  </si>
  <si>
    <t>212.24489795918367, 12.469437652811735</t>
  </si>
  <si>
    <t>473.2600732600732, 8.196721311475414</t>
  </si>
  <si>
    <t>137.70491803278688, 86.1788617886179</t>
  </si>
  <si>
    <t>-2.4545454545454546, 1363.636363636364</t>
  </si>
  <si>
    <t>62.352941176470594, 161.53846153846155</t>
  </si>
  <si>
    <t>238.0952380952381, 9.339853300733495</t>
  </si>
  <si>
    <t>484.2490842490842, 8.196721311475414</t>
  </si>
  <si>
    <t>151.63934426229508, 79.67479674796748</t>
  </si>
  <si>
    <t>-2.3506493506493507, 1666.6666666666679</t>
  </si>
  <si>
    <t>67.5, 146.15384615384613</t>
  </si>
  <si>
    <t>261.9047619047619, 6.014669926650367</t>
  </si>
  <si>
    <t>497.4358974358974, 11.885245901639337</t>
  </si>
  <si>
    <t>159.8360655737705, 86.1788617886179</t>
  </si>
  <si>
    <t>-2.2532467532467533, 1666.6666666666679</t>
  </si>
  <si>
    <t>74.85294117647058, 123.0769230769231</t>
  </si>
  <si>
    <t>285.7142857142857, 4.841075794621027</t>
  </si>
  <si>
    <t>509.8901098901099, 8.196721311475414</t>
  </si>
  <si>
    <t>174.59016393442624, 76.42276422764228</t>
  </si>
  <si>
    <t>-2.1493506493506493, 1666.6666666666679</t>
  </si>
  <si>
    <t>84.85294117647058, 92.30769230769232</t>
  </si>
  <si>
    <t>312.2448979591837, 3.080684596577015</t>
  </si>
  <si>
    <t>521.6117216117216, 4.508196721311492</t>
  </si>
  <si>
    <t>184.4262295081967, 76.42276422764228</t>
  </si>
  <si>
    <t>-2.0584415584415585, 1969.69696969697</t>
  </si>
  <si>
    <t>95, 76.9230769230769</t>
  </si>
  <si>
    <t>336.734693877551, 1.9070904645476752</t>
  </si>
  <si>
    <t>534.065934065934, 4.508196721311492</t>
  </si>
  <si>
    <t>197.54098360655738, 63.414634146341456</t>
  </si>
  <si>
    <t>-1.948051948051948, 1666.6666666666679</t>
  </si>
  <si>
    <t>112.5, 100</t>
  </si>
  <si>
    <t>371.42857142857144, 1.5158924205378952</t>
  </si>
  <si>
    <t>545.7875457875457, 0.8196721311475414</t>
  </si>
  <si>
    <t>210.65573770491804, 60.162601626016254</t>
  </si>
  <si>
    <t>-1.8506493506493507, 2424.242424242425</t>
  </si>
  <si>
    <t>395.23809523809524, 1.1246943765281152</t>
  </si>
  <si>
    <t>558.2417582417581, 4.508196721311492</t>
  </si>
  <si>
    <t>220.49180327868854, 60.162601626016254</t>
  </si>
  <si>
    <t>-1.7467532467532467, 2878.78787878788</t>
  </si>
  <si>
    <t>421.08843537414964, 0.7334963325183352</t>
  </si>
  <si>
    <t>567.032967032967, -2.868852459016381</t>
  </si>
  <si>
    <t>235.24590163934425, 50.40650406504065</t>
  </si>
  <si>
    <t>-1.6623376623376624, 3030.303030303031</t>
  </si>
  <si>
    <t>3.0791788856304976, 192.67139479905438</t>
  </si>
  <si>
    <t>447.6190476190476, 0.537897310513447</t>
  </si>
  <si>
    <t>577.2893772893773, 0.8196721311475414</t>
  </si>
  <si>
    <t>245.08196721311475, 43.90243902439025</t>
  </si>
  <si>
    <t>-1.551948051948052, 3333.333333333334</t>
  </si>
  <si>
    <t>7.7712609970674436, 561.4657210401891</t>
  </si>
  <si>
    <t>470.06802721088434, 0.537897310513447</t>
  </si>
  <si>
    <t>593.4065934065934, 85.65573770491804</t>
  </si>
  <si>
    <t>257.37704918032784, 43.90243902439025</t>
  </si>
  <si>
    <t>-1.4545454545454546, 3181.818181818182</t>
  </si>
  <si>
    <t>12.75659824046921, 887.7068557919622</t>
  </si>
  <si>
    <t>495.23809523809524, 1.5158924205378952</t>
  </si>
  <si>
    <t>90.84249084249085, 4.508196721311492</t>
  </si>
  <si>
    <t>268.0327868852459, 34.14634146341464</t>
  </si>
  <si>
    <t>-1.3506493506493507, 3939.39393939394</t>
  </si>
  <si>
    <t>17.741935483870968, 1190.3073286052008</t>
  </si>
  <si>
    <t>39.45578231292517, 11.491442542787286</t>
  </si>
  <si>
    <t>102.56410256410257, 63.52459016393442</t>
  </si>
  <si>
    <t>280.327868852459, 37.398373983739845</t>
  </si>
  <si>
    <t>-1.2532467532467533, 4090.909090909092</t>
  </si>
  <si>
    <t>22.727272727272727, 1421.9858156028367</t>
  </si>
  <si>
    <t>62.585034013605444, 9.926650366748166</t>
  </si>
  <si>
    <t>113.55311355311356, 107.78688524590164</t>
  </si>
  <si>
    <t>292.62295081967216, 34.14634146341464</t>
  </si>
  <si>
    <t>-1.1493506493506493, 4242.424242424243</t>
  </si>
  <si>
    <t>28.005865102639294, 1587.4704491725768</t>
  </si>
  <si>
    <t>88.43537414965986, 8.166259168704155</t>
  </si>
  <si>
    <t>126.00732600732601, 129.91803278688525</t>
  </si>
  <si>
    <t>304.0983606557377, 30.89430894308944</t>
  </si>
  <si>
    <t>-1.051948051948052, 3787.878787878788</t>
  </si>
  <si>
    <t>32.697947214076244, 1677.304964539007</t>
  </si>
  <si>
    <t>112.92517006802721, 6.797066014669927</t>
  </si>
  <si>
    <t>137.72893772893772, 133.60655737704917</t>
  </si>
  <si>
    <t>318.0327868852459, 27.64227642276424</t>
  </si>
  <si>
    <t>-0.9545454545454546, 4242.424242424243</t>
  </si>
  <si>
    <t>37.683284457478, 1748.22695035461</t>
  </si>
  <si>
    <t>138.77551020408163, 4.449877750611247</t>
  </si>
  <si>
    <t>149.45054945054946, 126.22950819672131</t>
  </si>
  <si>
    <t>327.8688524590164, 24.39024390243904</t>
  </si>
  <si>
    <t>-0.857142857142857, 4393.939393939394</t>
  </si>
  <si>
    <t>42.66862170087977, 1734.0425531914893</t>
  </si>
  <si>
    <t>163.26530612244898, 3.667481662591687</t>
  </si>
  <si>
    <t>161.9047619047619, 126.22950819672131</t>
  </si>
  <si>
    <t>340.983606557377, 24.39024390243904</t>
  </si>
  <si>
    <t>-0.7532467532467533, 4545.454545454546</t>
  </si>
  <si>
    <t>47.94721407624633, 1686.7612293144207</t>
  </si>
  <si>
    <t>187.07482993197277, 3.080684596577015</t>
  </si>
  <si>
    <t>174.35897435897436, 104.09836065573771</t>
  </si>
  <si>
    <t>353.27868852459017, 17.886178861788608</t>
  </si>
  <si>
    <t>-0.6623376623376622, 4696.969696969698</t>
  </si>
  <si>
    <t>52.639296187683286, 1634.7517730496454</t>
  </si>
  <si>
    <t>210.20408163265307, 2.298288508557455</t>
  </si>
  <si>
    <t>185.34798534798534, 96.72131147540983</t>
  </si>
  <si>
    <t>364.75409836065575, 21.138211382113838</t>
  </si>
  <si>
    <t>-0.5584415584415583, 4848.484848484849</t>
  </si>
  <si>
    <t>57.624633431085044, 1521.276595744681</t>
  </si>
  <si>
    <t>237.41496598639455, 2.298288508557455</t>
  </si>
  <si>
    <t>197.8021978021978, 78.27868852459017</t>
  </si>
  <si>
    <t>377.8688524590164, 17.886178861788608</t>
  </si>
  <si>
    <t>-0.45454545454545436, 4848.484848484849</t>
  </si>
  <si>
    <t>62.6099706744868, 1398.3451536643024</t>
  </si>
  <si>
    <t>261.9047619047619, 1.9070904645476752</t>
  </si>
  <si>
    <t>208.7912087912088, 59.8360655737705</t>
  </si>
  <si>
    <t>388.5245901639344, 21.138211382113838</t>
  </si>
  <si>
    <t>-0.357142857142857, 5000</t>
  </si>
  <si>
    <t>67.59530791788856, 1270.6855791962175</t>
  </si>
  <si>
    <t>286.3945578231293, 1.5158924205378952</t>
  </si>
  <si>
    <t>220.5128205128205, 52.459016393442624</t>
  </si>
  <si>
    <t>400.8196721311475, 17.886178861788608</t>
  </si>
  <si>
    <t>-0.25324675324675305, 5151.515151515152</t>
  </si>
  <si>
    <t>72.58064516129032, 1143.0260047281322</t>
  </si>
  <si>
    <t>312.2448979591837, 0.929095354523227</t>
  </si>
  <si>
    <t>232.96703296703296, 45.08196721311475</t>
  </si>
  <si>
    <t>411.4754098360656, 17.886178861788608</t>
  </si>
  <si>
    <t>-0.1428571428571428, 5303.030303030304</t>
  </si>
  <si>
    <t>77.27272727272728, 1020.0945626477541</t>
  </si>
  <si>
    <t>330.61224489795916, 0.7334963325183352</t>
  </si>
  <si>
    <t>246.15384615384616, 37.70491803278688</t>
  </si>
  <si>
    <t>427.04918032786884, 14.634146341463406</t>
  </si>
  <si>
    <t>-0.05194805194805174, 5454.545454545455</t>
  </si>
  <si>
    <t>82.55131964809385, 901.8912529550828</t>
  </si>
  <si>
    <t>353.0612244897959, 0.7334963325183352</t>
  </si>
  <si>
    <t>257.1428571428571, 34.016393442622956</t>
  </si>
  <si>
    <t>436.88524590163934, 11.382113821138205</t>
  </si>
  <si>
    <t>0.05844155844155852, 4545.454545454546</t>
  </si>
  <si>
    <t>87.5366568914956, 797.8723404255319</t>
  </si>
  <si>
    <t>385.7142857142857, 0.929095354523227</t>
  </si>
  <si>
    <t>268.13186813186815, 26.639344262295083</t>
  </si>
  <si>
    <t>450.8196721311475, 14.634146341463406</t>
  </si>
  <si>
    <t>0.14935064935064934, 5151.515151515152</t>
  </si>
  <si>
    <t>92.52199413489737, 708.0378250591016</t>
  </si>
  <si>
    <t>410.2040816326531, 0.537897310513447</t>
  </si>
  <si>
    <t>281.31868131868134, 22.95081967213116</t>
  </si>
  <si>
    <t>463.9344262295082, 14.634146341463406</t>
  </si>
  <si>
    <t>0.24675324675324672, 5000</t>
  </si>
  <si>
    <t>97.50733137829911, 613.4751773049645</t>
  </si>
  <si>
    <t>434.6938775510204, 0.34229828850855526</t>
  </si>
  <si>
    <t>294.5054945054945, 19.26229508196721</t>
  </si>
  <si>
    <t>477.04918032786884, 4.878048780487802</t>
  </si>
  <si>
    <t>0.35064935064935066, 4696.969696969698</t>
  </si>
  <si>
    <t>102.49266862170089, 537.8250591016548</t>
  </si>
  <si>
    <t>458.5034013605442, -0.04889975550122472</t>
  </si>
  <si>
    <t>305.49450549450546, 15.573770491803288</t>
  </si>
  <si>
    <t>486.88524590163934, 4.878048780487802</t>
  </si>
  <si>
    <t>0.4415584415584419, 4848.484848484849</t>
  </si>
  <si>
    <t>107.47800586510265, 471.63120567375887</t>
  </si>
  <si>
    <t>480.95238095238096, 1.1246943765281152</t>
  </si>
  <si>
    <t>317.94871794871796, 15.573770491803288</t>
  </si>
  <si>
    <t>499.1803278688525, 1.6260162601626007</t>
  </si>
  <si>
    <t>0.5454545454545454, 5000</t>
  </si>
  <si>
    <t>112.7565982404692, 419.6217494089835</t>
  </si>
  <si>
    <t>329.6703296703297, 15.573770491803288</t>
  </si>
  <si>
    <t>509.016393442623, 4.878048780487802</t>
  </si>
  <si>
    <t>0.6428571428571432, 5000</t>
  </si>
  <si>
    <t>117.74193548387098, 358.1560283687943</t>
  </si>
  <si>
    <t>342.8571428571429, 11.885245901639337</t>
  </si>
  <si>
    <t>522.1311475409836, 4.878048780487802</t>
  </si>
  <si>
    <t>0.7597402597402598, 4242.424242424243</t>
  </si>
  <si>
    <t>122.72727272727273, 315.60283687943263</t>
  </si>
  <si>
    <t>-2.3769633507853403, 341.8259023354565</t>
  </si>
  <si>
    <t>355.3113553113553, 11.885245901639337</t>
  </si>
  <si>
    <t>540.1639344262295, 4.878048780487802</t>
  </si>
  <si>
    <t>0.837662337662338, 4696.969696969698</t>
  </si>
  <si>
    <t>127.41935483870968, 273.04964539007096</t>
  </si>
  <si>
    <t>-2.118673647469459, 585.9872611464968</t>
  </si>
  <si>
    <t>367.032967032967, 8.196721311475414</t>
  </si>
  <si>
    <t>550.8196721311476, 4.878048780487802</t>
  </si>
  <si>
    <t>0.948051948051948, 4696.969696969698</t>
  </si>
  <si>
    <t>132.69794721407624, 244.6808510638298</t>
  </si>
  <si>
    <t>-1.881326352530541, 936.3057324840764</t>
  </si>
  <si>
    <t>378.02197802197804, 4.508196721311492</t>
  </si>
  <si>
    <t>562.2950819672132, 4.878048780487802</t>
  </si>
  <si>
    <t>1.0454545454545459, 3939.39393939394</t>
  </si>
  <si>
    <t>137.39002932551318, 211.58392434988184</t>
  </si>
  <si>
    <t>-1.6160558464223387, 1222.9299363057326</t>
  </si>
  <si>
    <t>390.4761904761905, 0.8196721311475414</t>
  </si>
  <si>
    <t>576.2295081967213, 1.6260162601626007</t>
  </si>
  <si>
    <t>1.1298701298701301, 4090.909090909092</t>
  </si>
  <si>
    <t>142.66862170087978, 187.94326241134752</t>
  </si>
  <si>
    <t>-1.3717277486910995, 1307.8556263269638</t>
  </si>
  <si>
    <t>404.3956043956044, 0.8196721311475414</t>
  </si>
  <si>
    <t>1.2467532467532472, 3787.878787878788</t>
  </si>
  <si>
    <t>147.65395894428153, 164.30260047281325</t>
  </si>
  <si>
    <t>-1.1204188481675392, 2050.955414012739</t>
  </si>
  <si>
    <t>415.38461538461536, 0.8196721311475414</t>
  </si>
  <si>
    <t>594.2622950819673, 79.67479674796748</t>
  </si>
  <si>
    <t>1.3441558441558445, 3636.363636363637</t>
  </si>
  <si>
    <t>152.3460410557185, 187.94326241134752</t>
  </si>
  <si>
    <t>-0.869109947643979, 2167.728237791932</t>
  </si>
  <si>
    <t>1.4480519480519485, 3484.848484848486</t>
  </si>
  <si>
    <t>157.33137829912025, 131.20567375886526</t>
  </si>
  <si>
    <t>-0.62478184991274, 2624.203821656051</t>
  </si>
  <si>
    <t>1.5454545454545459, 3484.848484848486</t>
  </si>
  <si>
    <t>162.316715542522, 112.29314420803786</t>
  </si>
  <si>
    <t>-0.3664921465968587, 3080.67940552017</t>
  </si>
  <si>
    <t>1.6428571428571432, 2727.272727272728</t>
  </si>
  <si>
    <t>167.30205278592376, 98.10874704491727</t>
  </si>
  <si>
    <t>-0.11518324607329844, 2624.203821656051</t>
  </si>
  <si>
    <t>1.733766233766234, 2272.727272727274</t>
  </si>
  <si>
    <t>172.58064516129033, 83.92434988179673</t>
  </si>
  <si>
    <t>0.12216404886561971, 2719.745222929936</t>
  </si>
  <si>
    <t>1.8441558441558445, 2272.727272727274</t>
  </si>
  <si>
    <t>177.56598240469208, 74.468085106383</t>
  </si>
  <si>
    <t>0.3664921465968587, 2932.0594479830147</t>
  </si>
  <si>
    <t>1.9480519480519485, 1818.181818181819</t>
  </si>
  <si>
    <t>182.55131964809385, 74.468085106383</t>
  </si>
  <si>
    <t>0.6247818499127402, 2666.6666666666665</t>
  </si>
  <si>
    <t>2.0519480519480524, 1818.181818181819</t>
  </si>
  <si>
    <t>187.2434017595308, 60.283687943262464</t>
  </si>
  <si>
    <t>0.8691099476439792, 2199.575371549894</t>
  </si>
  <si>
    <t>2.1558441558441563, 1666.6666666666679</t>
  </si>
  <si>
    <t>192.52199413489737, 55.5555555555556</t>
  </si>
  <si>
    <t>1.1204188481675392, 1944.7983014861995</t>
  </si>
  <si>
    <t>2.233766233766234, 1515.151515151516</t>
  </si>
  <si>
    <t>197.21407624633432, 547.2813238770685</t>
  </si>
  <si>
    <t>1.3717277486910997, 1201.6985138004247</t>
  </si>
  <si>
    <t>2.337662337662338, 1515.151515151516</t>
  </si>
  <si>
    <t>2.785923753665685, 50.827423167848735</t>
  </si>
  <si>
    <t>1.6300174520069808, 1148.619957537155</t>
  </si>
  <si>
    <t>2.454545454545455, 1212.121212121212</t>
  </si>
  <si>
    <t>7.7712609970674436, 135.93380614657212</t>
  </si>
  <si>
    <t>1.8743455497382198, 936.3057324840764</t>
  </si>
  <si>
    <t>12.75659824046921, 192.67139479905438</t>
  </si>
  <si>
    <t>2.12565445026178, 564.755838641189</t>
  </si>
  <si>
    <t>17.741935483870968, 254.1371158392435</t>
  </si>
  <si>
    <t>2.369982547993019, 309.97876857749475</t>
  </si>
  <si>
    <t>22.727272727272727, 273.04964539007096</t>
  </si>
  <si>
    <t>-2.3839441535776613, 140.12738853503186</t>
  </si>
  <si>
    <t>592.6739926739926, 34.016393442622956</t>
  </si>
  <si>
    <t>27.712609970674485, 268.3215130023641</t>
  </si>
  <si>
    <t>-2.1256544502617802, 182.5902335456476</t>
  </si>
  <si>
    <t>32.40469208211144, 249.40898345153667</t>
  </si>
  <si>
    <t>-1.87434554973822, 214.43736730360934</t>
  </si>
  <si>
    <t>37.096774193548384, 244.6808510638298</t>
  </si>
  <si>
    <t>-1.6230366492146597, 288.74734607218693</t>
  </si>
  <si>
    <t>42.375366568914956, 221.0401891252955</t>
  </si>
  <si>
    <t>-1.3717277486910995, 246.28450106157118</t>
  </si>
  <si>
    <t>47.360703812316714, 187.94326241134752</t>
  </si>
  <si>
    <t>-1.1204188481675392, 416.13588110403396</t>
  </si>
  <si>
    <t>52.639296187683286, 183.21513002364065</t>
  </si>
  <si>
    <t>-0.8760907504363002, 341.8259023354565</t>
  </si>
  <si>
    <t>57.038123167155426, 150.11820330969272</t>
  </si>
  <si>
    <t>-0.62478184991274, 405.52016985138005</t>
  </si>
  <si>
    <t>62.316715542522, 135.93380614657212</t>
  </si>
  <si>
    <t>-0.37347294938917974, 501.0615711252654</t>
  </si>
  <si>
    <t>67.30205278592376, 117.02127659574472</t>
  </si>
  <si>
    <t>-0.12216404886561949, 405.52016985138005</t>
  </si>
  <si>
    <t>72.58064516129032, 102.83687943262413</t>
  </si>
  <si>
    <t>0.11518324607329866, 426.751592356688</t>
  </si>
  <si>
    <t>76.97947214076247, 98.10874704491727</t>
  </si>
  <si>
    <t>0.37347294938917974, 426.751592356688</t>
  </si>
  <si>
    <t>82.25806451612902, 79.19621749408986</t>
  </si>
  <si>
    <t>0.6387434554973823, 405.52016985138005</t>
  </si>
  <si>
    <t>87.5366568914956, 69.73995271867614</t>
  </si>
  <si>
    <t>0.8760907504363002, 373.6730360934183</t>
  </si>
  <si>
    <t>92.22873900293256, 60.283687943262464</t>
  </si>
  <si>
    <t>1.1343804537521818, 341.8259023354565</t>
  </si>
  <si>
    <t>97.50733137829911, 50.827423167848735</t>
  </si>
  <si>
    <t>1.3787085514834208, 193.20594479830152</t>
  </si>
  <si>
    <t>102.78592375366568, 46.09929078014187</t>
  </si>
  <si>
    <t>1.6230366492146597, 235.66878980891727</t>
  </si>
  <si>
    <t>107.18475073313783, 36.64302600472814</t>
  </si>
  <si>
    <t>1.8673647469458987, 203.82165605095543</t>
  </si>
  <si>
    <t>112.17008797653959, 36.64302600472814</t>
  </si>
  <si>
    <t>2.1186736474694587, 150.74309978768588</t>
  </si>
  <si>
    <t>117.15542521994135, 31.914893617021278</t>
  </si>
  <si>
    <t>2.369982547993019, 118.89596602972404</t>
  </si>
  <si>
    <t>122.72727272727273, 22.458628841607606</t>
  </si>
  <si>
    <t>126.53958944281526, 22.458628841607606</t>
  </si>
  <si>
    <t>131.8181818181818, 22.458628841607606</t>
  </si>
  <si>
    <t>136.8035190615836, 17.73049645390074</t>
  </si>
  <si>
    <t>141.78885630498536, 17.73049645390074</t>
  </si>
  <si>
    <t>147.0674486803519, 13.002364066193877</t>
  </si>
  <si>
    <t>152.3460410557185, 50.827423167848735</t>
  </si>
  <si>
    <t>157.03812316715545, 8.274231678487013</t>
  </si>
  <si>
    <t>162.60997067448682, 8.274231678487013</t>
  </si>
  <si>
    <t>167.00879765395894, 8.274231678487013</t>
  </si>
  <si>
    <t>172.58064516129033, 8.274231678487013</t>
  </si>
  <si>
    <t>177.27272727272728, 3.5460992907801483</t>
  </si>
  <si>
    <t>182.55131964809385, 8.274231678487013</t>
  </si>
  <si>
    <t>186.950146627566, 8.274231678487013</t>
  </si>
  <si>
    <t>192.52199413489737, 8.274231678487013</t>
  </si>
  <si>
    <t>197.21407624633432, 60.283687943262464</t>
  </si>
  <si>
    <t>GeV</t>
  </si>
  <si>
    <t>Events</t>
  </si>
  <si>
    <t>Invervals</t>
  </si>
  <si>
    <t>Interval</t>
  </si>
  <si>
    <t>N</t>
  </si>
  <si>
    <t>Inverval</t>
  </si>
  <si>
    <t>eta</t>
  </si>
  <si>
    <t>pt</t>
  </si>
  <si>
    <t>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</si>
</sst>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Events vs. Inverval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'Leading b-jet eta'!$D$2:$D$51</c:f>
            </c:strRef>
          </c:cat>
          <c:val>
            <c:numRef>
              <c:f>'Leading b-jet eta'!$F$2:$F$51</c:f>
              <c:numCache/>
            </c:numRef>
          </c:val>
          <c:smooth val="0"/>
        </c:ser>
        <c:axId val="1989137378"/>
        <c:axId val="626626016"/>
      </c:lineChart>
      <c:catAx>
        <c:axId val="1989137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Inverval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626016"/>
      </c:catAx>
      <c:valAx>
        <c:axId val="626626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Events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91373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552450</xdr:colOff>
      <xdr:row>22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1" t="s">
        <v>0</v>
      </c>
      <c r="I1" s="1" t="s">
        <v>0</v>
      </c>
      <c r="L1" s="1" t="s">
        <v>0</v>
      </c>
      <c r="P1" s="1" t="s">
        <v>0</v>
      </c>
    </row>
    <row r="2">
      <c r="A2" s="1" t="s">
        <v>1</v>
      </c>
      <c r="E2" s="1" t="s">
        <v>2</v>
      </c>
      <c r="I2" s="1" t="s">
        <v>3</v>
      </c>
      <c r="L2" s="1" t="s">
        <v>4</v>
      </c>
      <c r="P2" s="1" t="s">
        <v>5</v>
      </c>
    </row>
    <row r="3">
      <c r="A3" s="1" t="s">
        <v>6</v>
      </c>
      <c r="E3" s="1" t="s">
        <v>7</v>
      </c>
      <c r="I3" s="1" t="s">
        <v>8</v>
      </c>
      <c r="L3" s="1" t="s">
        <v>9</v>
      </c>
      <c r="P3" s="1" t="s">
        <v>10</v>
      </c>
    </row>
    <row r="4">
      <c r="A4" s="1" t="s">
        <v>11</v>
      </c>
      <c r="E4" s="1" t="s">
        <v>12</v>
      </c>
      <c r="I4" s="1" t="s">
        <v>13</v>
      </c>
      <c r="L4" s="1" t="s">
        <v>14</v>
      </c>
      <c r="P4" s="1" t="s">
        <v>15</v>
      </c>
    </row>
    <row r="5">
      <c r="A5" s="1" t="s">
        <v>16</v>
      </c>
      <c r="E5" s="1" t="s">
        <v>17</v>
      </c>
      <c r="I5" s="1" t="s">
        <v>18</v>
      </c>
      <c r="L5" s="1" t="s">
        <v>19</v>
      </c>
      <c r="P5" s="1" t="s">
        <v>20</v>
      </c>
    </row>
    <row r="6">
      <c r="A6" s="1" t="s">
        <v>21</v>
      </c>
      <c r="E6" s="1" t="s">
        <v>22</v>
      </c>
      <c r="I6" s="1" t="s">
        <v>23</v>
      </c>
      <c r="L6" s="1" t="s">
        <v>24</v>
      </c>
      <c r="P6" s="1" t="s">
        <v>25</v>
      </c>
    </row>
    <row r="7">
      <c r="A7" s="1" t="s">
        <v>26</v>
      </c>
      <c r="E7" s="1" t="s">
        <v>12</v>
      </c>
      <c r="I7" s="1" t="s">
        <v>27</v>
      </c>
      <c r="L7" s="1" t="s">
        <v>28</v>
      </c>
      <c r="P7" s="1" t="s">
        <v>29</v>
      </c>
    </row>
    <row r="8">
      <c r="I8" s="1" t="s">
        <v>30</v>
      </c>
      <c r="L8" s="1" t="s">
        <v>31</v>
      </c>
      <c r="P8" s="1" t="s">
        <v>32</v>
      </c>
    </row>
    <row r="9">
      <c r="A9" s="1" t="s">
        <v>0</v>
      </c>
      <c r="E9" s="1" t="s">
        <v>0</v>
      </c>
      <c r="I9" s="1" t="s">
        <v>33</v>
      </c>
      <c r="L9" s="1" t="s">
        <v>34</v>
      </c>
      <c r="P9" s="1" t="s">
        <v>35</v>
      </c>
    </row>
    <row r="10">
      <c r="A10" s="1" t="s">
        <v>36</v>
      </c>
      <c r="E10" s="1" t="s">
        <v>37</v>
      </c>
      <c r="I10" s="1" t="s">
        <v>38</v>
      </c>
      <c r="L10" s="1" t="s">
        <v>39</v>
      </c>
      <c r="P10" s="1" t="s">
        <v>40</v>
      </c>
    </row>
    <row r="11">
      <c r="A11" s="1" t="s">
        <v>41</v>
      </c>
      <c r="E11" s="1" t="s">
        <v>42</v>
      </c>
      <c r="I11" s="1" t="s">
        <v>43</v>
      </c>
      <c r="L11" s="1" t="s">
        <v>44</v>
      </c>
      <c r="P11" s="1" t="s">
        <v>45</v>
      </c>
    </row>
    <row r="12">
      <c r="A12" s="1" t="s">
        <v>46</v>
      </c>
      <c r="E12" s="1" t="s">
        <v>47</v>
      </c>
      <c r="L12" s="1" t="s">
        <v>48</v>
      </c>
      <c r="P12" s="1" t="s">
        <v>49</v>
      </c>
    </row>
    <row r="13">
      <c r="A13" s="1" t="s">
        <v>50</v>
      </c>
      <c r="E13" s="1" t="s">
        <v>51</v>
      </c>
      <c r="I13" s="1" t="s">
        <v>0</v>
      </c>
      <c r="L13" s="1" t="s">
        <v>52</v>
      </c>
      <c r="P13" s="1" t="s">
        <v>53</v>
      </c>
    </row>
    <row r="14">
      <c r="A14" s="1" t="s">
        <v>54</v>
      </c>
      <c r="E14" s="1" t="s">
        <v>55</v>
      </c>
      <c r="I14" s="1" t="s">
        <v>56</v>
      </c>
      <c r="L14" s="1" t="s">
        <v>57</v>
      </c>
      <c r="P14" s="1" t="s">
        <v>58</v>
      </c>
    </row>
    <row r="15">
      <c r="A15" s="1" t="s">
        <v>59</v>
      </c>
      <c r="E15" s="1" t="s">
        <v>60</v>
      </c>
      <c r="I15" s="1" t="s">
        <v>61</v>
      </c>
      <c r="L15" s="1" t="s">
        <v>62</v>
      </c>
      <c r="P15" s="1" t="s">
        <v>63</v>
      </c>
    </row>
    <row r="16">
      <c r="A16" s="1" t="s">
        <v>64</v>
      </c>
      <c r="E16" s="1" t="s">
        <v>65</v>
      </c>
      <c r="I16" s="1" t="s">
        <v>66</v>
      </c>
      <c r="L16" s="1" t="s">
        <v>67</v>
      </c>
      <c r="P16" s="1" t="s">
        <v>68</v>
      </c>
    </row>
    <row r="17">
      <c r="A17" s="1" t="s">
        <v>69</v>
      </c>
      <c r="E17" s="1" t="s">
        <v>70</v>
      </c>
      <c r="I17" s="1" t="s">
        <v>71</v>
      </c>
      <c r="L17" s="1" t="s">
        <v>72</v>
      </c>
      <c r="P17" s="1" t="s">
        <v>73</v>
      </c>
    </row>
    <row r="18">
      <c r="A18" s="1" t="s">
        <v>74</v>
      </c>
      <c r="E18" s="1" t="s">
        <v>75</v>
      </c>
      <c r="I18" s="1" t="s">
        <v>76</v>
      </c>
      <c r="L18" s="1" t="s">
        <v>77</v>
      </c>
      <c r="P18" s="1" t="s">
        <v>78</v>
      </c>
    </row>
    <row r="19">
      <c r="A19" s="1" t="s">
        <v>79</v>
      </c>
      <c r="E19" s="1" t="s">
        <v>80</v>
      </c>
      <c r="I19" s="1" t="s">
        <v>81</v>
      </c>
      <c r="L19" s="1" t="s">
        <v>82</v>
      </c>
      <c r="P19" s="1" t="s">
        <v>83</v>
      </c>
    </row>
    <row r="20">
      <c r="A20" s="1" t="s">
        <v>84</v>
      </c>
      <c r="E20" s="1" t="s">
        <v>85</v>
      </c>
      <c r="I20" s="1" t="s">
        <v>86</v>
      </c>
      <c r="L20" s="1" t="s">
        <v>87</v>
      </c>
      <c r="P20" s="1" t="s">
        <v>88</v>
      </c>
    </row>
    <row r="21">
      <c r="A21" s="1" t="s">
        <v>89</v>
      </c>
      <c r="E21" s="1" t="s">
        <v>90</v>
      </c>
      <c r="I21" s="1" t="s">
        <v>91</v>
      </c>
      <c r="L21" s="1" t="s">
        <v>92</v>
      </c>
      <c r="P21" s="1" t="s">
        <v>93</v>
      </c>
    </row>
    <row r="22">
      <c r="A22" s="1" t="s">
        <v>94</v>
      </c>
      <c r="E22" s="1" t="s">
        <v>95</v>
      </c>
      <c r="I22" s="1" t="s">
        <v>96</v>
      </c>
      <c r="L22" s="1" t="s">
        <v>97</v>
      </c>
      <c r="P22" s="1" t="s">
        <v>98</v>
      </c>
    </row>
    <row r="23">
      <c r="A23" s="1" t="s">
        <v>99</v>
      </c>
      <c r="E23" s="1" t="s">
        <v>100</v>
      </c>
      <c r="I23" s="1" t="s">
        <v>101</v>
      </c>
      <c r="L23" s="1" t="s">
        <v>102</v>
      </c>
      <c r="P23" s="1" t="s">
        <v>103</v>
      </c>
    </row>
    <row r="24">
      <c r="A24" s="1" t="s">
        <v>104</v>
      </c>
      <c r="E24" s="1" t="s">
        <v>105</v>
      </c>
      <c r="I24" s="1" t="s">
        <v>106</v>
      </c>
      <c r="P24" s="1" t="s">
        <v>107</v>
      </c>
    </row>
    <row r="25">
      <c r="A25" s="1" t="s">
        <v>108</v>
      </c>
      <c r="E25" s="1" t="s">
        <v>109</v>
      </c>
      <c r="I25" s="1" t="s">
        <v>110</v>
      </c>
      <c r="P25" s="1" t="s">
        <v>111</v>
      </c>
    </row>
    <row r="26">
      <c r="A26" s="1" t="s">
        <v>112</v>
      </c>
      <c r="E26" s="1" t="s">
        <v>113</v>
      </c>
      <c r="I26" s="1" t="s">
        <v>114</v>
      </c>
      <c r="L26" s="1" t="s">
        <v>0</v>
      </c>
      <c r="P26" s="1" t="s">
        <v>115</v>
      </c>
    </row>
    <row r="27">
      <c r="A27" s="1" t="s">
        <v>116</v>
      </c>
      <c r="E27" s="1" t="s">
        <v>117</v>
      </c>
      <c r="I27" s="1" t="s">
        <v>118</v>
      </c>
      <c r="L27" s="1" t="s">
        <v>119</v>
      </c>
      <c r="P27" s="1" t="s">
        <v>120</v>
      </c>
    </row>
    <row r="28">
      <c r="A28" s="1" t="s">
        <v>121</v>
      </c>
      <c r="E28" s="1" t="s">
        <v>122</v>
      </c>
      <c r="I28" s="1" t="s">
        <v>123</v>
      </c>
      <c r="L28" s="1" t="s">
        <v>124</v>
      </c>
      <c r="P28" s="1" t="s">
        <v>125</v>
      </c>
    </row>
    <row r="29">
      <c r="A29" s="1" t="s">
        <v>126</v>
      </c>
      <c r="E29" s="1" t="s">
        <v>127</v>
      </c>
      <c r="I29" s="1" t="s">
        <v>128</v>
      </c>
      <c r="L29" s="1" t="s">
        <v>129</v>
      </c>
      <c r="P29" s="1" t="s">
        <v>130</v>
      </c>
    </row>
    <row r="30">
      <c r="A30" s="1" t="s">
        <v>131</v>
      </c>
      <c r="E30" s="1" t="s">
        <v>132</v>
      </c>
      <c r="I30" s="1" t="s">
        <v>133</v>
      </c>
      <c r="L30" s="1" t="s">
        <v>134</v>
      </c>
      <c r="P30" s="1" t="s">
        <v>135</v>
      </c>
    </row>
    <row r="31">
      <c r="A31" s="1" t="s">
        <v>136</v>
      </c>
      <c r="E31" s="1" t="s">
        <v>137</v>
      </c>
      <c r="I31" s="1" t="s">
        <v>138</v>
      </c>
      <c r="L31" s="1" t="s">
        <v>139</v>
      </c>
      <c r="P31" s="1" t="s">
        <v>140</v>
      </c>
    </row>
    <row r="32">
      <c r="A32" s="1" t="s">
        <v>141</v>
      </c>
      <c r="E32" s="1" t="s">
        <v>142</v>
      </c>
      <c r="I32" s="1" t="s">
        <v>143</v>
      </c>
      <c r="L32" s="1" t="s">
        <v>144</v>
      </c>
      <c r="P32" s="1" t="s">
        <v>145</v>
      </c>
    </row>
    <row r="33">
      <c r="A33" s="1" t="s">
        <v>146</v>
      </c>
      <c r="E33" s="1" t="s">
        <v>147</v>
      </c>
      <c r="I33" s="1" t="s">
        <v>148</v>
      </c>
      <c r="L33" s="1" t="s">
        <v>149</v>
      </c>
      <c r="P33" s="1" t="s">
        <v>150</v>
      </c>
    </row>
    <row r="34">
      <c r="A34" s="1" t="s">
        <v>151</v>
      </c>
      <c r="E34" s="1" t="s">
        <v>152</v>
      </c>
      <c r="I34" s="1" t="s">
        <v>153</v>
      </c>
      <c r="L34" s="1" t="s">
        <v>154</v>
      </c>
      <c r="P34" s="1" t="s">
        <v>155</v>
      </c>
    </row>
    <row r="35">
      <c r="A35" s="1" t="s">
        <v>156</v>
      </c>
      <c r="E35" s="1" t="s">
        <v>90</v>
      </c>
      <c r="I35" s="1" t="s">
        <v>157</v>
      </c>
      <c r="L35" s="1" t="s">
        <v>158</v>
      </c>
      <c r="P35" s="1" t="s">
        <v>159</v>
      </c>
    </row>
    <row r="36">
      <c r="A36" s="1" t="s">
        <v>160</v>
      </c>
      <c r="E36" s="1" t="s">
        <v>95</v>
      </c>
      <c r="I36" s="1" t="s">
        <v>161</v>
      </c>
      <c r="L36" s="1" t="s">
        <v>162</v>
      </c>
      <c r="P36" s="1" t="s">
        <v>163</v>
      </c>
    </row>
    <row r="37">
      <c r="A37" s="1" t="s">
        <v>164</v>
      </c>
      <c r="E37" s="1" t="s">
        <v>100</v>
      </c>
      <c r="I37" s="1" t="s">
        <v>165</v>
      </c>
      <c r="L37" s="1" t="s">
        <v>166</v>
      </c>
      <c r="P37" s="1" t="s">
        <v>167</v>
      </c>
    </row>
    <row r="38">
      <c r="A38" s="1" t="s">
        <v>168</v>
      </c>
      <c r="I38" s="1" t="s">
        <v>169</v>
      </c>
      <c r="L38" s="1" t="s">
        <v>170</v>
      </c>
      <c r="P38" s="1" t="s">
        <v>171</v>
      </c>
    </row>
    <row r="39">
      <c r="A39" s="1" t="s">
        <v>172</v>
      </c>
      <c r="E39" s="1" t="s">
        <v>0</v>
      </c>
      <c r="I39" s="1" t="s">
        <v>173</v>
      </c>
      <c r="L39" s="1" t="s">
        <v>174</v>
      </c>
      <c r="P39" s="1" t="s">
        <v>175</v>
      </c>
    </row>
    <row r="40">
      <c r="A40" s="1" t="s">
        <v>176</v>
      </c>
      <c r="E40" s="1" t="s">
        <v>177</v>
      </c>
      <c r="I40" s="1" t="s">
        <v>178</v>
      </c>
      <c r="L40" s="1" t="s">
        <v>179</v>
      </c>
      <c r="P40" s="1" t="s">
        <v>180</v>
      </c>
    </row>
    <row r="41">
      <c r="A41" s="1" t="s">
        <v>181</v>
      </c>
      <c r="E41" s="1" t="s">
        <v>182</v>
      </c>
      <c r="I41" s="1" t="s">
        <v>183</v>
      </c>
      <c r="L41" s="1" t="s">
        <v>184</v>
      </c>
      <c r="P41" s="1" t="s">
        <v>185</v>
      </c>
    </row>
    <row r="42">
      <c r="A42" s="1" t="s">
        <v>186</v>
      </c>
      <c r="E42" s="1" t="s">
        <v>187</v>
      </c>
      <c r="I42" s="1" t="s">
        <v>188</v>
      </c>
      <c r="L42" s="1" t="s">
        <v>189</v>
      </c>
      <c r="P42" s="1" t="s">
        <v>190</v>
      </c>
    </row>
    <row r="43">
      <c r="A43" s="1" t="s">
        <v>191</v>
      </c>
      <c r="E43" s="1" t="s">
        <v>192</v>
      </c>
      <c r="I43" s="1" t="s">
        <v>193</v>
      </c>
      <c r="L43" s="1" t="s">
        <v>194</v>
      </c>
      <c r="P43" s="1" t="s">
        <v>195</v>
      </c>
    </row>
    <row r="44">
      <c r="A44" s="1" t="s">
        <v>196</v>
      </c>
      <c r="E44" s="1" t="s">
        <v>197</v>
      </c>
      <c r="I44" s="1" t="s">
        <v>198</v>
      </c>
      <c r="L44" s="1" t="s">
        <v>199</v>
      </c>
      <c r="P44" s="1" t="s">
        <v>200</v>
      </c>
    </row>
    <row r="45">
      <c r="A45" s="1" t="s">
        <v>201</v>
      </c>
      <c r="E45" s="1" t="s">
        <v>202</v>
      </c>
      <c r="I45" s="1" t="s">
        <v>203</v>
      </c>
      <c r="L45" s="1" t="s">
        <v>204</v>
      </c>
      <c r="P45" s="1" t="s">
        <v>205</v>
      </c>
    </row>
    <row r="46">
      <c r="A46" s="1" t="s">
        <v>206</v>
      </c>
      <c r="E46" s="1" t="s">
        <v>207</v>
      </c>
      <c r="I46" s="1" t="s">
        <v>208</v>
      </c>
      <c r="L46" s="1" t="s">
        <v>209</v>
      </c>
      <c r="P46" s="1" t="s">
        <v>210</v>
      </c>
    </row>
    <row r="47">
      <c r="A47" s="1" t="s">
        <v>211</v>
      </c>
      <c r="E47" s="1" t="s">
        <v>212</v>
      </c>
      <c r="I47" s="1" t="s">
        <v>213</v>
      </c>
      <c r="L47" s="1" t="s">
        <v>214</v>
      </c>
      <c r="P47" s="1" t="s">
        <v>215</v>
      </c>
    </row>
    <row r="48">
      <c r="A48" s="1" t="s">
        <v>216</v>
      </c>
      <c r="E48" s="1" t="s">
        <v>217</v>
      </c>
      <c r="I48" s="1" t="s">
        <v>218</v>
      </c>
      <c r="L48" s="1" t="s">
        <v>219</v>
      </c>
      <c r="P48" s="1" t="s">
        <v>220</v>
      </c>
    </row>
    <row r="49">
      <c r="A49" s="1" t="s">
        <v>221</v>
      </c>
      <c r="E49" s="1" t="s">
        <v>222</v>
      </c>
      <c r="I49" s="1" t="s">
        <v>223</v>
      </c>
      <c r="L49" s="1" t="s">
        <v>224</v>
      </c>
      <c r="P49" s="1" t="s">
        <v>225</v>
      </c>
    </row>
    <row r="50">
      <c r="A50" s="1" t="s">
        <v>226</v>
      </c>
      <c r="E50" s="1" t="s">
        <v>227</v>
      </c>
      <c r="L50" s="1" t="s">
        <v>228</v>
      </c>
      <c r="P50" s="1" t="s">
        <v>5</v>
      </c>
    </row>
    <row r="51">
      <c r="A51" s="1" t="s">
        <v>229</v>
      </c>
      <c r="E51" s="1" t="s">
        <v>230</v>
      </c>
      <c r="I51" s="1" t="s">
        <v>0</v>
      </c>
      <c r="L51" s="1" t="s">
        <v>231</v>
      </c>
      <c r="P51" s="1" t="s">
        <v>10</v>
      </c>
    </row>
    <row r="52">
      <c r="A52" s="1" t="s">
        <v>232</v>
      </c>
      <c r="E52" s="1" t="s">
        <v>233</v>
      </c>
      <c r="I52" s="1" t="s">
        <v>234</v>
      </c>
      <c r="L52" s="1" t="s">
        <v>235</v>
      </c>
      <c r="P52" s="1" t="s">
        <v>15</v>
      </c>
    </row>
    <row r="53">
      <c r="A53" s="1" t="s">
        <v>236</v>
      </c>
      <c r="E53" s="1" t="s">
        <v>237</v>
      </c>
      <c r="I53" s="1" t="s">
        <v>238</v>
      </c>
      <c r="L53" s="1" t="s">
        <v>239</v>
      </c>
      <c r="P53" s="1" t="s">
        <v>240</v>
      </c>
    </row>
    <row r="54">
      <c r="A54" s="1" t="s">
        <v>241</v>
      </c>
      <c r="E54" s="1" t="s">
        <v>242</v>
      </c>
      <c r="I54" s="1" t="s">
        <v>243</v>
      </c>
      <c r="L54" s="1" t="s">
        <v>244</v>
      </c>
      <c r="P54" s="1" t="s">
        <v>245</v>
      </c>
    </row>
    <row r="55">
      <c r="A55" s="1" t="s">
        <v>246</v>
      </c>
      <c r="E55" s="1" t="s">
        <v>247</v>
      </c>
      <c r="I55" s="1" t="s">
        <v>248</v>
      </c>
      <c r="L55" s="1" t="s">
        <v>249</v>
      </c>
      <c r="P55" s="1" t="s">
        <v>250</v>
      </c>
    </row>
    <row r="56">
      <c r="A56" s="1" t="s">
        <v>251</v>
      </c>
      <c r="E56" s="1" t="s">
        <v>252</v>
      </c>
      <c r="I56" s="1" t="s">
        <v>253</v>
      </c>
      <c r="L56" s="1" t="s">
        <v>254</v>
      </c>
      <c r="P56" s="1" t="s">
        <v>255</v>
      </c>
    </row>
    <row r="57">
      <c r="A57" s="1" t="s">
        <v>256</v>
      </c>
      <c r="E57" s="1" t="s">
        <v>257</v>
      </c>
      <c r="I57" s="1" t="s">
        <v>258</v>
      </c>
      <c r="L57" s="1" t="s">
        <v>259</v>
      </c>
      <c r="P57" s="1" t="s">
        <v>260</v>
      </c>
    </row>
    <row r="58">
      <c r="A58" s="1" t="s">
        <v>261</v>
      </c>
      <c r="E58" s="1" t="s">
        <v>262</v>
      </c>
      <c r="I58" s="1" t="s">
        <v>263</v>
      </c>
      <c r="L58" s="1" t="s">
        <v>264</v>
      </c>
      <c r="P58" s="1" t="s">
        <v>265</v>
      </c>
    </row>
    <row r="59">
      <c r="A59" s="1" t="s">
        <v>266</v>
      </c>
      <c r="E59" s="1" t="s">
        <v>267</v>
      </c>
      <c r="I59" s="1" t="s">
        <v>268</v>
      </c>
      <c r="L59" s="1" t="s">
        <v>269</v>
      </c>
      <c r="P59" s="1" t="s">
        <v>270</v>
      </c>
    </row>
    <row r="60">
      <c r="A60" s="1" t="s">
        <v>271</v>
      </c>
      <c r="E60" s="1" t="s">
        <v>272</v>
      </c>
      <c r="I60" s="1" t="s">
        <v>273</v>
      </c>
      <c r="L60" s="1" t="s">
        <v>274</v>
      </c>
      <c r="P60" s="1" t="s">
        <v>275</v>
      </c>
    </row>
    <row r="61">
      <c r="A61" s="1" t="s">
        <v>276</v>
      </c>
      <c r="E61" s="1" t="s">
        <v>277</v>
      </c>
      <c r="I61" s="1" t="s">
        <v>278</v>
      </c>
      <c r="L61" s="1" t="s">
        <v>279</v>
      </c>
      <c r="P61" s="1" t="s">
        <v>280</v>
      </c>
    </row>
    <row r="62">
      <c r="A62" s="1" t="s">
        <v>281</v>
      </c>
      <c r="E62" s="1" t="s">
        <v>282</v>
      </c>
      <c r="I62" s="1" t="s">
        <v>283</v>
      </c>
      <c r="L62" s="1" t="s">
        <v>284</v>
      </c>
      <c r="P62" s="1" t="s">
        <v>285</v>
      </c>
    </row>
    <row r="63">
      <c r="A63" s="1" t="s">
        <v>286</v>
      </c>
      <c r="E63" s="1" t="s">
        <v>287</v>
      </c>
      <c r="I63" s="1" t="s">
        <v>288</v>
      </c>
      <c r="L63" s="1" t="s">
        <v>289</v>
      </c>
      <c r="P63" s="1" t="s">
        <v>290</v>
      </c>
    </row>
    <row r="64">
      <c r="A64" s="1" t="s">
        <v>291</v>
      </c>
      <c r="E64" s="1" t="s">
        <v>292</v>
      </c>
      <c r="I64" s="1" t="s">
        <v>293</v>
      </c>
      <c r="L64" s="1" t="s">
        <v>294</v>
      </c>
      <c r="P64" s="1" t="s">
        <v>295</v>
      </c>
    </row>
    <row r="65">
      <c r="A65" s="1" t="s">
        <v>296</v>
      </c>
      <c r="E65" s="1" t="s">
        <v>297</v>
      </c>
      <c r="I65" s="1" t="s">
        <v>298</v>
      </c>
      <c r="L65" s="1" t="s">
        <v>299</v>
      </c>
      <c r="P65" s="1" t="s">
        <v>300</v>
      </c>
    </row>
    <row r="66">
      <c r="A66" s="1" t="s">
        <v>301</v>
      </c>
      <c r="I66" s="1" t="s">
        <v>302</v>
      </c>
      <c r="L66" s="1" t="s">
        <v>303</v>
      </c>
      <c r="P66" s="1" t="s">
        <v>304</v>
      </c>
    </row>
    <row r="67">
      <c r="A67" s="1" t="s">
        <v>305</v>
      </c>
      <c r="E67" s="1" t="s">
        <v>0</v>
      </c>
      <c r="I67" s="1" t="s">
        <v>306</v>
      </c>
      <c r="L67" s="1" t="s">
        <v>307</v>
      </c>
      <c r="P67" s="1" t="s">
        <v>308</v>
      </c>
    </row>
    <row r="68">
      <c r="A68" s="1" t="s">
        <v>309</v>
      </c>
      <c r="E68" s="1" t="s">
        <v>310</v>
      </c>
      <c r="I68" s="1" t="s">
        <v>311</v>
      </c>
      <c r="L68" s="1" t="s">
        <v>312</v>
      </c>
      <c r="P68" s="1" t="s">
        <v>313</v>
      </c>
    </row>
    <row r="69">
      <c r="A69" s="1" t="s">
        <v>314</v>
      </c>
      <c r="E69" s="1" t="s">
        <v>315</v>
      </c>
      <c r="I69" s="1" t="s">
        <v>316</v>
      </c>
      <c r="L69" s="1" t="s">
        <v>317</v>
      </c>
      <c r="P69" s="1" t="s">
        <v>318</v>
      </c>
    </row>
    <row r="70">
      <c r="A70" s="1" t="s">
        <v>319</v>
      </c>
      <c r="E70" s="1" t="s">
        <v>320</v>
      </c>
      <c r="I70" s="1" t="s">
        <v>321</v>
      </c>
      <c r="L70" s="1" t="s">
        <v>322</v>
      </c>
      <c r="P70" s="1" t="s">
        <v>323</v>
      </c>
    </row>
    <row r="71">
      <c r="A71" s="1" t="s">
        <v>324</v>
      </c>
      <c r="E71" s="1" t="s">
        <v>325</v>
      </c>
      <c r="I71" s="1" t="s">
        <v>326</v>
      </c>
      <c r="L71" s="1" t="s">
        <v>327</v>
      </c>
      <c r="P71" s="1" t="s">
        <v>328</v>
      </c>
    </row>
    <row r="72">
      <c r="A72" s="1" t="s">
        <v>329</v>
      </c>
      <c r="E72" s="1" t="s">
        <v>330</v>
      </c>
      <c r="I72" s="1" t="s">
        <v>331</v>
      </c>
      <c r="L72" s="1" t="s">
        <v>332</v>
      </c>
      <c r="P72" s="1" t="s">
        <v>333</v>
      </c>
    </row>
    <row r="73">
      <c r="A73" s="1" t="s">
        <v>334</v>
      </c>
      <c r="E73" s="1" t="s">
        <v>335</v>
      </c>
      <c r="I73" s="1" t="s">
        <v>336</v>
      </c>
      <c r="L73" s="1" t="s">
        <v>337</v>
      </c>
      <c r="P73" s="1" t="s">
        <v>338</v>
      </c>
    </row>
    <row r="74">
      <c r="A74" s="1" t="s">
        <v>339</v>
      </c>
      <c r="E74" s="1" t="s">
        <v>340</v>
      </c>
      <c r="I74" s="1" t="s">
        <v>341</v>
      </c>
      <c r="L74" s="1" t="s">
        <v>342</v>
      </c>
      <c r="P74" s="1" t="s">
        <v>343</v>
      </c>
    </row>
    <row r="75">
      <c r="A75" s="1" t="s">
        <v>344</v>
      </c>
      <c r="E75" s="1" t="s">
        <v>345</v>
      </c>
      <c r="I75" s="1" t="s">
        <v>346</v>
      </c>
      <c r="L75" s="1" t="s">
        <v>347</v>
      </c>
      <c r="P75" s="1" t="s">
        <v>348</v>
      </c>
    </row>
    <row r="76">
      <c r="A76" s="1" t="s">
        <v>349</v>
      </c>
      <c r="E76" s="1" t="s">
        <v>350</v>
      </c>
      <c r="I76" s="1" t="s">
        <v>351</v>
      </c>
      <c r="L76" s="1" t="s">
        <v>352</v>
      </c>
      <c r="P76" s="1" t="s">
        <v>353</v>
      </c>
    </row>
    <row r="77">
      <c r="A77" s="1" t="s">
        <v>354</v>
      </c>
      <c r="E77" s="1" t="s">
        <v>355</v>
      </c>
      <c r="I77" s="1" t="s">
        <v>356</v>
      </c>
      <c r="L77" s="1" t="s">
        <v>357</v>
      </c>
      <c r="P77" s="1" t="s">
        <v>358</v>
      </c>
    </row>
    <row r="78">
      <c r="A78" s="1" t="s">
        <v>359</v>
      </c>
      <c r="E78" s="1" t="s">
        <v>360</v>
      </c>
      <c r="I78" s="1" t="s">
        <v>361</v>
      </c>
      <c r="L78" s="1" t="s">
        <v>362</v>
      </c>
      <c r="P78" s="1" t="s">
        <v>363</v>
      </c>
    </row>
    <row r="79">
      <c r="A79" s="1" t="s">
        <v>364</v>
      </c>
      <c r="E79" s="1" t="s">
        <v>365</v>
      </c>
      <c r="I79" s="1" t="s">
        <v>366</v>
      </c>
      <c r="L79" s="1" t="s">
        <v>367</v>
      </c>
      <c r="P79" s="1" t="s">
        <v>368</v>
      </c>
    </row>
    <row r="80">
      <c r="A80" s="1" t="s">
        <v>369</v>
      </c>
      <c r="E80" s="1" t="s">
        <v>370</v>
      </c>
      <c r="I80" s="1" t="s">
        <v>371</v>
      </c>
      <c r="L80" s="1" t="s">
        <v>372</v>
      </c>
      <c r="P80" s="1" t="s">
        <v>373</v>
      </c>
    </row>
    <row r="81">
      <c r="A81" s="1" t="s">
        <v>374</v>
      </c>
      <c r="E81" s="1" t="s">
        <v>375</v>
      </c>
      <c r="I81" s="1" t="s">
        <v>376</v>
      </c>
      <c r="L81" s="1" t="s">
        <v>377</v>
      </c>
      <c r="P81" s="1" t="s">
        <v>378</v>
      </c>
    </row>
    <row r="82">
      <c r="A82" s="1" t="s">
        <v>379</v>
      </c>
      <c r="E82" s="1" t="s">
        <v>380</v>
      </c>
      <c r="I82" s="1" t="s">
        <v>381</v>
      </c>
      <c r="L82" s="1" t="s">
        <v>382</v>
      </c>
      <c r="P82" s="1" t="s">
        <v>383</v>
      </c>
    </row>
    <row r="83">
      <c r="A83" s="1" t="s">
        <v>384</v>
      </c>
      <c r="E83" s="1" t="s">
        <v>385</v>
      </c>
      <c r="I83" s="1" t="s">
        <v>386</v>
      </c>
      <c r="L83" s="1" t="s">
        <v>387</v>
      </c>
      <c r="P83" s="1" t="s">
        <v>388</v>
      </c>
    </row>
    <row r="84">
      <c r="A84" s="1" t="s">
        <v>389</v>
      </c>
      <c r="E84" s="1" t="s">
        <v>390</v>
      </c>
      <c r="I84" s="1" t="s">
        <v>391</v>
      </c>
      <c r="L84" s="1" t="s">
        <v>392</v>
      </c>
      <c r="P84" s="1" t="s">
        <v>393</v>
      </c>
    </row>
    <row r="85">
      <c r="A85" s="1" t="s">
        <v>394</v>
      </c>
      <c r="E85" s="1" t="s">
        <v>395</v>
      </c>
      <c r="I85" s="1" t="s">
        <v>396</v>
      </c>
      <c r="L85" s="1" t="s">
        <v>397</v>
      </c>
      <c r="P85" s="1" t="s">
        <v>398</v>
      </c>
    </row>
    <row r="86">
      <c r="A86" s="1" t="s">
        <v>399</v>
      </c>
      <c r="E86" s="1" t="s">
        <v>400</v>
      </c>
      <c r="I86" s="1" t="s">
        <v>401</v>
      </c>
      <c r="L86" s="1" t="s">
        <v>402</v>
      </c>
      <c r="P86" s="1" t="s">
        <v>403</v>
      </c>
    </row>
    <row r="87">
      <c r="A87" s="1" t="s">
        <v>404</v>
      </c>
      <c r="E87" s="1" t="s">
        <v>405</v>
      </c>
      <c r="I87" s="1" t="s">
        <v>406</v>
      </c>
      <c r="L87" s="1" t="s">
        <v>407</v>
      </c>
      <c r="P87" s="1" t="s">
        <v>408</v>
      </c>
    </row>
    <row r="88">
      <c r="A88" s="1" t="s">
        <v>409</v>
      </c>
      <c r="E88" s="1" t="s">
        <v>410</v>
      </c>
      <c r="I88" s="1" t="s">
        <v>411</v>
      </c>
      <c r="L88" s="1" t="s">
        <v>412</v>
      </c>
      <c r="P88" s="1" t="s">
        <v>413</v>
      </c>
    </row>
    <row r="89">
      <c r="A89" s="1" t="s">
        <v>414</v>
      </c>
      <c r="E89" s="1" t="s">
        <v>415</v>
      </c>
      <c r="I89" s="1" t="s">
        <v>416</v>
      </c>
      <c r="L89" s="1" t="s">
        <v>417</v>
      </c>
      <c r="P89" s="1" t="s">
        <v>418</v>
      </c>
    </row>
    <row r="90">
      <c r="A90" s="1" t="s">
        <v>419</v>
      </c>
      <c r="E90" s="1" t="s">
        <v>420</v>
      </c>
      <c r="L90" s="1" t="s">
        <v>421</v>
      </c>
      <c r="P90" s="1" t="s">
        <v>422</v>
      </c>
    </row>
    <row r="91">
      <c r="A91" s="1" t="s">
        <v>423</v>
      </c>
      <c r="E91" s="1" t="s">
        <v>424</v>
      </c>
      <c r="I91" s="1" t="s">
        <v>0</v>
      </c>
      <c r="L91" s="1" t="s">
        <v>425</v>
      </c>
      <c r="P91" s="1" t="s">
        <v>426</v>
      </c>
    </row>
    <row r="92">
      <c r="A92" s="1" t="s">
        <v>427</v>
      </c>
      <c r="E92" s="1" t="s">
        <v>428</v>
      </c>
      <c r="I92" s="1" t="s">
        <v>429</v>
      </c>
      <c r="L92" s="1" t="s">
        <v>430</v>
      </c>
      <c r="P92" s="1" t="s">
        <v>431</v>
      </c>
    </row>
    <row r="93">
      <c r="A93" s="1" t="s">
        <v>432</v>
      </c>
      <c r="E93" s="1" t="s">
        <v>433</v>
      </c>
      <c r="I93" s="1" t="s">
        <v>434</v>
      </c>
      <c r="L93" s="1" t="s">
        <v>435</v>
      </c>
      <c r="P93" s="1" t="s">
        <v>436</v>
      </c>
    </row>
    <row r="94">
      <c r="A94" s="1" t="s">
        <v>437</v>
      </c>
      <c r="E94" s="1" t="s">
        <v>438</v>
      </c>
      <c r="I94" s="1" t="s">
        <v>439</v>
      </c>
      <c r="L94" s="1" t="s">
        <v>440</v>
      </c>
      <c r="P94" s="1" t="s">
        <v>441</v>
      </c>
    </row>
    <row r="95">
      <c r="A95" s="1" t="s">
        <v>442</v>
      </c>
      <c r="E95" s="1" t="s">
        <v>443</v>
      </c>
      <c r="I95" s="1" t="s">
        <v>444</v>
      </c>
      <c r="L95" s="1" t="s">
        <v>445</v>
      </c>
      <c r="P95" s="1" t="s">
        <v>446</v>
      </c>
    </row>
    <row r="96">
      <c r="A96" s="1" t="s">
        <v>447</v>
      </c>
      <c r="E96" s="1" t="s">
        <v>448</v>
      </c>
      <c r="I96" s="1" t="s">
        <v>449</v>
      </c>
      <c r="L96" s="1" t="s">
        <v>450</v>
      </c>
      <c r="P96" s="1" t="s">
        <v>220</v>
      </c>
    </row>
    <row r="97">
      <c r="A97" s="1" t="s">
        <v>451</v>
      </c>
      <c r="E97" s="1" t="s">
        <v>452</v>
      </c>
      <c r="I97" s="1" t="s">
        <v>453</v>
      </c>
      <c r="L97" s="1" t="s">
        <v>454</v>
      </c>
      <c r="P97" s="1" t="s">
        <v>455</v>
      </c>
    </row>
    <row r="98">
      <c r="A98" s="1" t="s">
        <v>456</v>
      </c>
      <c r="E98" s="1" t="s">
        <v>457</v>
      </c>
      <c r="I98" s="1" t="s">
        <v>458</v>
      </c>
      <c r="L98" s="1" t="s">
        <v>249</v>
      </c>
    </row>
    <row r="99">
      <c r="A99" s="1" t="s">
        <v>459</v>
      </c>
      <c r="E99" s="1" t="s">
        <v>460</v>
      </c>
      <c r="I99" s="1" t="s">
        <v>461</v>
      </c>
      <c r="L99" s="1" t="s">
        <v>254</v>
      </c>
    </row>
    <row r="100">
      <c r="A100" s="1" t="s">
        <v>462</v>
      </c>
      <c r="E100" s="1" t="s">
        <v>463</v>
      </c>
      <c r="I100" s="1" t="s">
        <v>464</v>
      </c>
      <c r="L100" s="1" t="s">
        <v>259</v>
      </c>
    </row>
    <row r="101">
      <c r="A101" s="1" t="s">
        <v>465</v>
      </c>
      <c r="E101" s="1" t="s">
        <v>466</v>
      </c>
      <c r="I101" s="1" t="s">
        <v>467</v>
      </c>
      <c r="L101" s="1" t="s">
        <v>264</v>
      </c>
    </row>
    <row r="102">
      <c r="A102" s="1" t="s">
        <v>468</v>
      </c>
      <c r="E102" s="1" t="s">
        <v>469</v>
      </c>
      <c r="I102" s="1" t="s">
        <v>470</v>
      </c>
      <c r="L102" s="1" t="s">
        <v>269</v>
      </c>
    </row>
    <row r="103">
      <c r="A103" s="1" t="s">
        <v>471</v>
      </c>
      <c r="E103" s="1" t="s">
        <v>472</v>
      </c>
      <c r="I103" s="1" t="s">
        <v>473</v>
      </c>
      <c r="L103" s="1" t="s">
        <v>274</v>
      </c>
    </row>
    <row r="104">
      <c r="A104" s="1" t="s">
        <v>474</v>
      </c>
      <c r="E104" s="1" t="s">
        <v>475</v>
      </c>
      <c r="I104" s="1" t="s">
        <v>476</v>
      </c>
      <c r="L104" s="1" t="s">
        <v>279</v>
      </c>
    </row>
    <row r="105">
      <c r="A105" s="1" t="s">
        <v>477</v>
      </c>
      <c r="E105" s="1" t="s">
        <v>478</v>
      </c>
      <c r="I105" s="1" t="s">
        <v>479</v>
      </c>
      <c r="L105" s="1" t="s">
        <v>284</v>
      </c>
    </row>
    <row r="106">
      <c r="A106" s="1" t="s">
        <v>480</v>
      </c>
      <c r="E106" s="1" t="s">
        <v>481</v>
      </c>
      <c r="I106" s="1" t="s">
        <v>482</v>
      </c>
      <c r="L106" s="1" t="s">
        <v>289</v>
      </c>
    </row>
    <row r="107">
      <c r="A107" s="1" t="s">
        <v>483</v>
      </c>
      <c r="E107" s="1" t="s">
        <v>484</v>
      </c>
      <c r="I107" s="1" t="s">
        <v>485</v>
      </c>
      <c r="L107" s="1" t="s">
        <v>294</v>
      </c>
    </row>
    <row r="108">
      <c r="A108" s="1" t="s">
        <v>486</v>
      </c>
      <c r="E108" s="1" t="s">
        <v>487</v>
      </c>
      <c r="I108" s="1" t="s">
        <v>488</v>
      </c>
      <c r="L108" s="1" t="s">
        <v>299</v>
      </c>
    </row>
    <row r="109">
      <c r="A109" s="1" t="s">
        <v>489</v>
      </c>
      <c r="E109" s="1" t="s">
        <v>490</v>
      </c>
      <c r="I109" s="1" t="s">
        <v>491</v>
      </c>
      <c r="L109" s="1" t="s">
        <v>303</v>
      </c>
    </row>
    <row r="110">
      <c r="E110" s="1" t="s">
        <v>492</v>
      </c>
      <c r="I110" s="1" t="s">
        <v>493</v>
      </c>
      <c r="L110" s="1" t="s">
        <v>307</v>
      </c>
    </row>
    <row r="111">
      <c r="E111" s="1" t="s">
        <v>494</v>
      </c>
      <c r="I111" s="1" t="s">
        <v>495</v>
      </c>
      <c r="L111" s="1" t="s">
        <v>312</v>
      </c>
    </row>
    <row r="112">
      <c r="E112" s="1" t="s">
        <v>496</v>
      </c>
      <c r="I112" s="1" t="s">
        <v>497</v>
      </c>
      <c r="L112" s="1" t="s">
        <v>498</v>
      </c>
    </row>
    <row r="113">
      <c r="E113" s="1" t="s">
        <v>499</v>
      </c>
      <c r="I113" s="1" t="s">
        <v>500</v>
      </c>
    </row>
    <row r="114">
      <c r="E114" s="1" t="s">
        <v>501</v>
      </c>
      <c r="I114" s="1" t="s">
        <v>502</v>
      </c>
    </row>
    <row r="115">
      <c r="E115" s="1" t="s">
        <v>503</v>
      </c>
      <c r="I115" s="1" t="s">
        <v>504</v>
      </c>
    </row>
    <row r="116">
      <c r="E116" s="1" t="s">
        <v>505</v>
      </c>
      <c r="I116" s="1" t="s">
        <v>506</v>
      </c>
    </row>
    <row r="117">
      <c r="E117" s="1" t="s">
        <v>507</v>
      </c>
      <c r="I117" s="1" t="s">
        <v>508</v>
      </c>
    </row>
    <row r="118">
      <c r="E118" s="1" t="s">
        <v>509</v>
      </c>
      <c r="I118" s="1" t="s">
        <v>510</v>
      </c>
    </row>
    <row r="119">
      <c r="E119" s="1" t="s">
        <v>511</v>
      </c>
      <c r="I119" s="1" t="s">
        <v>512</v>
      </c>
    </row>
    <row r="120">
      <c r="E120" s="1" t="s">
        <v>513</v>
      </c>
      <c r="I120" s="1" t="s">
        <v>514</v>
      </c>
    </row>
    <row r="121">
      <c r="E121" s="1" t="s">
        <v>515</v>
      </c>
      <c r="I121" s="1" t="s">
        <v>516</v>
      </c>
    </row>
    <row r="122">
      <c r="E122" s="1" t="s">
        <v>517</v>
      </c>
      <c r="I122" s="1" t="s">
        <v>518</v>
      </c>
    </row>
    <row r="123">
      <c r="E123" s="1" t="s">
        <v>519</v>
      </c>
      <c r="I123" s="1" t="s">
        <v>520</v>
      </c>
    </row>
    <row r="124">
      <c r="E124" s="1" t="s">
        <v>521</v>
      </c>
      <c r="I124" s="1" t="s">
        <v>522</v>
      </c>
    </row>
    <row r="125">
      <c r="E125" s="1" t="s">
        <v>523</v>
      </c>
      <c r="I125" s="1" t="s">
        <v>524</v>
      </c>
    </row>
    <row r="126">
      <c r="E126" s="1" t="s">
        <v>525</v>
      </c>
      <c r="I126" s="1" t="s">
        <v>526</v>
      </c>
    </row>
    <row r="127">
      <c r="E127" s="1" t="s">
        <v>527</v>
      </c>
      <c r="I127" s="1" t="s">
        <v>528</v>
      </c>
    </row>
    <row r="128">
      <c r="E128" s="1" t="s">
        <v>529</v>
      </c>
      <c r="I128" s="1" t="s">
        <v>530</v>
      </c>
    </row>
    <row r="129">
      <c r="E129" s="1" t="s">
        <v>531</v>
      </c>
      <c r="I129" s="1" t="s">
        <v>532</v>
      </c>
    </row>
    <row r="130">
      <c r="E130" s="1" t="s">
        <v>533</v>
      </c>
      <c r="I130" s="1" t="s">
        <v>534</v>
      </c>
    </row>
    <row r="131">
      <c r="E131" s="1" t="s">
        <v>535</v>
      </c>
      <c r="I131" s="1" t="s">
        <v>536</v>
      </c>
    </row>
    <row r="132">
      <c r="E132" s="1" t="s">
        <v>537</v>
      </c>
    </row>
    <row r="133">
      <c r="E133" s="1" t="s">
        <v>538</v>
      </c>
    </row>
    <row r="134">
      <c r="E134" s="1" t="s">
        <v>539</v>
      </c>
    </row>
    <row r="135">
      <c r="E135" s="1" t="s">
        <v>540</v>
      </c>
    </row>
    <row r="136">
      <c r="E136" s="1" t="s">
        <v>541</v>
      </c>
    </row>
    <row r="137">
      <c r="E137" s="1" t="s">
        <v>542</v>
      </c>
    </row>
    <row r="138">
      <c r="E138" s="1" t="s">
        <v>543</v>
      </c>
    </row>
    <row r="139">
      <c r="E139" s="1" t="s">
        <v>544</v>
      </c>
    </row>
    <row r="140">
      <c r="E140" s="1" t="s">
        <v>545</v>
      </c>
    </row>
    <row r="141">
      <c r="E141" s="1" t="s">
        <v>546</v>
      </c>
    </row>
    <row r="142">
      <c r="E142" s="1" t="s">
        <v>547</v>
      </c>
    </row>
    <row r="143">
      <c r="E143" s="1" t="s">
        <v>548</v>
      </c>
    </row>
    <row r="144">
      <c r="E144" s="1" t="s">
        <v>549</v>
      </c>
    </row>
    <row r="145">
      <c r="E145" s="1" t="s">
        <v>550</v>
      </c>
    </row>
    <row r="146">
      <c r="E146" s="1" t="s">
        <v>551</v>
      </c>
    </row>
    <row r="147">
      <c r="E147" s="1" t="s">
        <v>552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553</v>
      </c>
      <c r="B1" s="1" t="s">
        <v>554</v>
      </c>
      <c r="D1" s="2" t="s">
        <v>555</v>
      </c>
      <c r="F1" s="3" t="s">
        <v>554</v>
      </c>
    </row>
    <row r="2">
      <c r="A2" s="4">
        <f>IFERROR(__xludf.DUMMYFUNCTION("SPLIT(Raw!P2, "","")"),30.327868852459)</f>
        <v>30.32786885</v>
      </c>
      <c r="B2" s="4">
        <f>IFERROR(__xludf.DUMMYFUNCTION("""COMPUTED_VALUE"""),4.8780487804878)</f>
        <v>4.87804878</v>
      </c>
      <c r="D2" s="1">
        <v>25.0</v>
      </c>
      <c r="E2" s="5">
        <v>36.979166666666664</v>
      </c>
      <c r="F2" s="4">
        <f t="shared" ref="F2:F49" si="1">round(B2-B50,0)</f>
        <v>0</v>
      </c>
    </row>
    <row r="3">
      <c r="A3" s="4">
        <f>IFERROR(__xludf.DUMMYFUNCTION("SPLIT(Raw!P3, "","")"),41.8032786885245)</f>
        <v>41.80327869</v>
      </c>
      <c r="B3" s="4">
        <f>IFERROR(__xludf.DUMMYFUNCTION("""COMPUTED_VALUE"""),4.8780487804878)</f>
        <v>4.87804878</v>
      </c>
      <c r="D3" s="1">
        <v>36.979166666666664</v>
      </c>
      <c r="E3" s="5">
        <v>48.95833333333333</v>
      </c>
      <c r="F3" s="4">
        <f t="shared" si="1"/>
        <v>0</v>
      </c>
    </row>
    <row r="4">
      <c r="A4" s="4">
        <f>IFERROR(__xludf.DUMMYFUNCTION("SPLIT(Raw!P4, "","")"),53.2786885245901)</f>
        <v>53.27868852</v>
      </c>
      <c r="B4" s="4">
        <f>IFERROR(__xludf.DUMMYFUNCTION("""COMPUTED_VALUE"""),4.8780487804878)</f>
        <v>4.87804878</v>
      </c>
      <c r="D4" s="1">
        <v>48.95833333333333</v>
      </c>
      <c r="E4" s="5">
        <v>60.93749999999999</v>
      </c>
      <c r="F4" s="4">
        <f t="shared" si="1"/>
        <v>0</v>
      </c>
    </row>
    <row r="5">
      <c r="A5" s="4">
        <f>IFERROR(__xludf.DUMMYFUNCTION("SPLIT(Raw!P5, "","")"),66.3934426229508)</f>
        <v>66.39344262</v>
      </c>
      <c r="B5" s="4">
        <f>IFERROR(__xludf.DUMMYFUNCTION("""COMPUTED_VALUE"""),27.6422764227642)</f>
        <v>27.64227642</v>
      </c>
      <c r="D5" s="1">
        <v>60.93749999999999</v>
      </c>
      <c r="E5" s="5">
        <v>72.91666666666666</v>
      </c>
      <c r="F5" s="4">
        <f t="shared" si="1"/>
        <v>20</v>
      </c>
    </row>
    <row r="6">
      <c r="A6" s="4">
        <f>IFERROR(__xludf.DUMMYFUNCTION("SPLIT(Raw!P6, "","")"),76.2295081967213)</f>
        <v>76.2295082</v>
      </c>
      <c r="B6" s="4">
        <f>IFERROR(__xludf.DUMMYFUNCTION("""COMPUTED_VALUE"""),66.6666666666666)</f>
        <v>66.66666667</v>
      </c>
      <c r="D6" s="1">
        <v>72.91666666666666</v>
      </c>
      <c r="E6" s="5">
        <v>84.89583333333333</v>
      </c>
      <c r="F6" s="4">
        <f t="shared" si="1"/>
        <v>46</v>
      </c>
    </row>
    <row r="7">
      <c r="A7" s="4">
        <f>IFERROR(__xludf.DUMMYFUNCTION("SPLIT(Raw!P7, "","")"),90.983606557377)</f>
        <v>90.98360656</v>
      </c>
      <c r="B7" s="4">
        <f>IFERROR(__xludf.DUMMYFUNCTION("""COMPUTED_VALUE"""),141.463414634146)</f>
        <v>141.4634146</v>
      </c>
      <c r="D7" s="1">
        <v>84.89583333333333</v>
      </c>
      <c r="E7" s="5">
        <v>96.875</v>
      </c>
      <c r="F7" s="4">
        <f t="shared" si="1"/>
        <v>111</v>
      </c>
    </row>
    <row r="8">
      <c r="A8" s="4">
        <f>IFERROR(__xludf.DUMMYFUNCTION("SPLIT(Raw!P8, "","")"),102.459016393442)</f>
        <v>102.4590164</v>
      </c>
      <c r="B8" s="4">
        <f>IFERROR(__xludf.DUMMYFUNCTION("""COMPUTED_VALUE"""),281.30081300813)</f>
        <v>281.300813</v>
      </c>
      <c r="D8" s="1">
        <v>96.875</v>
      </c>
      <c r="E8" s="5">
        <v>108.85416666666667</v>
      </c>
      <c r="F8" s="4">
        <f t="shared" si="1"/>
        <v>234</v>
      </c>
    </row>
    <row r="9">
      <c r="A9" s="4">
        <f>IFERROR(__xludf.DUMMYFUNCTION("SPLIT(Raw!P9, "","")"),114.754098360655)</f>
        <v>114.7540984</v>
      </c>
      <c r="B9" s="4">
        <f>IFERROR(__xludf.DUMMYFUNCTION("""COMPUTED_VALUE"""),466.666666666666)</f>
        <v>466.6666667</v>
      </c>
      <c r="D9" s="1">
        <v>108.85416666666667</v>
      </c>
      <c r="E9" s="5">
        <v>120.83333333333334</v>
      </c>
      <c r="F9" s="4">
        <f t="shared" si="1"/>
        <v>407</v>
      </c>
    </row>
    <row r="10">
      <c r="A10" s="4">
        <f>IFERROR(__xludf.DUMMYFUNCTION("SPLIT(Raw!P10, "","")"),126.229508196721)</f>
        <v>126.2295082</v>
      </c>
      <c r="B10" s="4">
        <f>IFERROR(__xludf.DUMMYFUNCTION("""COMPUTED_VALUE"""),674.796747967479)</f>
        <v>674.796748</v>
      </c>
      <c r="D10" s="1">
        <v>120.83333333333334</v>
      </c>
      <c r="E10" s="5">
        <v>132.8125</v>
      </c>
      <c r="F10" s="4">
        <f t="shared" si="1"/>
        <v>598</v>
      </c>
    </row>
    <row r="11">
      <c r="A11" s="4">
        <f>IFERROR(__xludf.DUMMYFUNCTION("SPLIT(Raw!P11, "","")"),138.524590163934)</f>
        <v>138.5245902</v>
      </c>
      <c r="B11" s="4">
        <f>IFERROR(__xludf.DUMMYFUNCTION("""COMPUTED_VALUE"""),889.430894308943)</f>
        <v>889.4308943</v>
      </c>
      <c r="D11" s="1">
        <v>132.8125</v>
      </c>
      <c r="E11" s="5">
        <v>144.79166666666666</v>
      </c>
      <c r="F11" s="4">
        <f t="shared" si="1"/>
        <v>803</v>
      </c>
    </row>
    <row r="12">
      <c r="A12" s="4">
        <f>IFERROR(__xludf.DUMMYFUNCTION("SPLIT(Raw!P12, "","")"),150.819672131147)</f>
        <v>150.8196721</v>
      </c>
      <c r="B12" s="4">
        <f>IFERROR(__xludf.DUMMYFUNCTION("""COMPUTED_VALUE"""),1104.0650406504)</f>
        <v>1104.065041</v>
      </c>
      <c r="D12" s="1">
        <v>144.79166666666666</v>
      </c>
      <c r="E12" s="5">
        <v>156.77083333333331</v>
      </c>
      <c r="F12" s="4">
        <f t="shared" si="1"/>
        <v>1024</v>
      </c>
    </row>
    <row r="13">
      <c r="A13" s="4">
        <f>IFERROR(__xludf.DUMMYFUNCTION("SPLIT(Raw!P13, "","")"),161.475409836065)</f>
        <v>161.4754098</v>
      </c>
      <c r="B13" s="4">
        <f>IFERROR(__xludf.DUMMYFUNCTION("""COMPUTED_VALUE"""),1289.43089430894)</f>
        <v>1289.430894</v>
      </c>
      <c r="D13" s="1">
        <v>156.77083333333331</v>
      </c>
      <c r="E13" s="5">
        <v>168.74999999999997</v>
      </c>
      <c r="F13" s="4">
        <f t="shared" si="1"/>
        <v>1203</v>
      </c>
    </row>
    <row r="14">
      <c r="A14" s="4">
        <f>IFERROR(__xludf.DUMMYFUNCTION("SPLIT(Raw!P14, "","")"),173.770491803278)</f>
        <v>173.7704918</v>
      </c>
      <c r="B14" s="4">
        <f>IFERROR(__xludf.DUMMYFUNCTION("""COMPUTED_VALUE"""),1217.88617886178)</f>
        <v>1217.886179</v>
      </c>
      <c r="D14" s="1">
        <v>168.74999999999997</v>
      </c>
      <c r="E14" s="5">
        <v>180.72916666666663</v>
      </c>
      <c r="F14" s="4">
        <f t="shared" si="1"/>
        <v>1141</v>
      </c>
    </row>
    <row r="15">
      <c r="A15" s="4">
        <f>IFERROR(__xludf.DUMMYFUNCTION("SPLIT(Raw!P15, "","")"),186.065573770491)</f>
        <v>186.0655738</v>
      </c>
      <c r="B15" s="4">
        <f>IFERROR(__xludf.DUMMYFUNCTION("""COMPUTED_VALUE"""),873.170731707317)</f>
        <v>873.1707317</v>
      </c>
      <c r="D15" s="1">
        <v>180.72916666666663</v>
      </c>
      <c r="E15" s="5">
        <v>192.7083333333333</v>
      </c>
      <c r="F15" s="4">
        <f t="shared" si="1"/>
        <v>797</v>
      </c>
    </row>
    <row r="16">
      <c r="A16" s="4">
        <f>IFERROR(__xludf.DUMMYFUNCTION("SPLIT(Raw!P16, "","")"),198.360655737704)</f>
        <v>198.3606557</v>
      </c>
      <c r="B16" s="4">
        <f>IFERROR(__xludf.DUMMYFUNCTION("""COMPUTED_VALUE"""),590.243902439024)</f>
        <v>590.2439024</v>
      </c>
      <c r="D16" s="1">
        <v>192.7083333333333</v>
      </c>
      <c r="E16" s="5">
        <v>204.68749999999994</v>
      </c>
      <c r="F16" s="4">
        <f t="shared" si="1"/>
        <v>527</v>
      </c>
    </row>
    <row r="17">
      <c r="A17" s="4">
        <f>IFERROR(__xludf.DUMMYFUNCTION("SPLIT(Raw!P17, "","")"),211.475409836065)</f>
        <v>211.4754098</v>
      </c>
      <c r="B17" s="4">
        <f>IFERROR(__xludf.DUMMYFUNCTION("""COMPUTED_VALUE"""),463.414634146341)</f>
        <v>463.4146341</v>
      </c>
      <c r="D17" s="1">
        <v>204.68749999999994</v>
      </c>
      <c r="E17" s="5">
        <v>216.6666666666666</v>
      </c>
      <c r="F17" s="4">
        <f t="shared" si="1"/>
        <v>403</v>
      </c>
    </row>
    <row r="18">
      <c r="A18" s="4">
        <f>IFERROR(__xludf.DUMMYFUNCTION("SPLIT(Raw!P18, "","")"),221.311475409836)</f>
        <v>221.3114754</v>
      </c>
      <c r="B18" s="4">
        <f>IFERROR(__xludf.DUMMYFUNCTION("""COMPUTED_VALUE"""),395.121951219512)</f>
        <v>395.1219512</v>
      </c>
      <c r="D18" s="1">
        <v>216.6666666666666</v>
      </c>
      <c r="E18" s="5">
        <v>228.64583333333326</v>
      </c>
      <c r="F18" s="4">
        <f t="shared" si="1"/>
        <v>335</v>
      </c>
    </row>
    <row r="19">
      <c r="A19" s="4">
        <f>IFERROR(__xludf.DUMMYFUNCTION("SPLIT(Raw!P19, "","")"),233.606557377049)</f>
        <v>233.6065574</v>
      </c>
      <c r="B19" s="4">
        <f>IFERROR(__xludf.DUMMYFUNCTION("""COMPUTED_VALUE"""),336.585365853658)</f>
        <v>336.5853659</v>
      </c>
      <c r="D19" s="1">
        <v>228.64583333333326</v>
      </c>
      <c r="E19" s="5">
        <v>240.62499999999991</v>
      </c>
      <c r="F19" s="4">
        <f t="shared" si="1"/>
        <v>286</v>
      </c>
    </row>
    <row r="20">
      <c r="A20" s="4">
        <f>IFERROR(__xludf.DUMMYFUNCTION("SPLIT(Raw!P20, "","")"),245.901639344262)</f>
        <v>245.9016393</v>
      </c>
      <c r="B20" s="4">
        <f>IFERROR(__xludf.DUMMYFUNCTION("""COMPUTED_VALUE"""),291.056910569105)</f>
        <v>291.0569106</v>
      </c>
      <c r="D20" s="1">
        <v>240.62499999999991</v>
      </c>
      <c r="E20" s="5">
        <v>252.60416666666657</v>
      </c>
      <c r="F20" s="4">
        <f t="shared" si="1"/>
        <v>247</v>
      </c>
    </row>
    <row r="21">
      <c r="A21" s="4">
        <f>IFERROR(__xludf.DUMMYFUNCTION("SPLIT(Raw!P21, "","")"),258.196721311475)</f>
        <v>258.1967213</v>
      </c>
      <c r="B21" s="4">
        <f>IFERROR(__xludf.DUMMYFUNCTION("""COMPUTED_VALUE"""),261.788617886178)</f>
        <v>261.7886179</v>
      </c>
      <c r="D21" s="1">
        <v>252.60416666666657</v>
      </c>
      <c r="E21" s="5">
        <v>264.58333333333326</v>
      </c>
      <c r="F21" s="4">
        <f t="shared" si="1"/>
        <v>218</v>
      </c>
    </row>
    <row r="22">
      <c r="A22" s="4">
        <f>IFERROR(__xludf.DUMMYFUNCTION("SPLIT(Raw!P22, "","")"),269.672131147541)</f>
        <v>269.6721311</v>
      </c>
      <c r="B22" s="4">
        <f>IFERROR(__xludf.DUMMYFUNCTION("""COMPUTED_VALUE"""),226.016260162601)</f>
        <v>226.0162602</v>
      </c>
      <c r="D22" s="1">
        <v>264.58333333333326</v>
      </c>
      <c r="E22" s="5">
        <v>276.56249999999994</v>
      </c>
      <c r="F22" s="4">
        <f t="shared" si="1"/>
        <v>192</v>
      </c>
    </row>
    <row r="23">
      <c r="A23" s="4">
        <f>IFERROR(__xludf.DUMMYFUNCTION("SPLIT(Raw!P23, "","")"),281.147540983606)</f>
        <v>281.147541</v>
      </c>
      <c r="B23" s="4">
        <f>IFERROR(__xludf.DUMMYFUNCTION("""COMPUTED_VALUE"""),206.50406504065)</f>
        <v>206.504065</v>
      </c>
      <c r="D23" s="1">
        <v>276.56249999999994</v>
      </c>
      <c r="E23" s="5">
        <v>288.54166666666663</v>
      </c>
      <c r="F23" s="4">
        <f t="shared" si="1"/>
        <v>169</v>
      </c>
    </row>
    <row r="24">
      <c r="A24" s="4">
        <f>IFERROR(__xludf.DUMMYFUNCTION("SPLIT(Raw!P24, "","")"),293.442622950819)</f>
        <v>293.442623</v>
      </c>
      <c r="B24" s="4">
        <f>IFERROR(__xludf.DUMMYFUNCTION("""COMPUTED_VALUE"""),183.739837398374)</f>
        <v>183.7398374</v>
      </c>
      <c r="D24" s="1">
        <v>288.54166666666663</v>
      </c>
      <c r="E24" s="5">
        <v>300.5208333333333</v>
      </c>
      <c r="F24" s="4">
        <f t="shared" si="1"/>
        <v>150</v>
      </c>
    </row>
    <row r="25">
      <c r="A25" s="4">
        <f>IFERROR(__xludf.DUMMYFUNCTION("SPLIT(Raw!P25, "","")"),305.737704918032)</f>
        <v>305.7377049</v>
      </c>
      <c r="B25" s="4">
        <f>IFERROR(__xludf.DUMMYFUNCTION("""COMPUTED_VALUE"""),157.723577235772)</f>
        <v>157.7235772</v>
      </c>
      <c r="D25" s="1">
        <v>300.5208333333333</v>
      </c>
      <c r="E25" s="5">
        <v>312.5</v>
      </c>
      <c r="F25" s="4">
        <f t="shared" si="1"/>
        <v>127</v>
      </c>
    </row>
    <row r="26">
      <c r="A26" s="4">
        <f>IFERROR(__xludf.DUMMYFUNCTION("SPLIT(Raw!P26, "","")"),318.032786885245)</f>
        <v>318.0327869</v>
      </c>
      <c r="B26" s="4">
        <f>IFERROR(__xludf.DUMMYFUNCTION("""COMPUTED_VALUE"""),138.211382113821)</f>
        <v>138.2113821</v>
      </c>
      <c r="D26" s="1">
        <v>312.5</v>
      </c>
      <c r="E26" s="5">
        <v>324.4791666666667</v>
      </c>
      <c r="F26" s="4">
        <f t="shared" si="1"/>
        <v>111</v>
      </c>
    </row>
    <row r="27">
      <c r="A27" s="4">
        <f>IFERROR(__xludf.DUMMYFUNCTION("SPLIT(Raw!P27, "","")"),329.508196721311)</f>
        <v>329.5081967</v>
      </c>
      <c r="B27" s="4">
        <f>IFERROR(__xludf.DUMMYFUNCTION("""COMPUTED_VALUE"""),125.20325203252)</f>
        <v>125.203252</v>
      </c>
      <c r="D27" s="1">
        <v>324.4791666666667</v>
      </c>
      <c r="E27" s="5">
        <v>336.45833333333337</v>
      </c>
      <c r="F27" s="4">
        <f t="shared" si="1"/>
        <v>101</v>
      </c>
    </row>
    <row r="28">
      <c r="A28" s="4">
        <f>IFERROR(__xludf.DUMMYFUNCTION("SPLIT(Raw!P28, "","")"),341.803278688524)</f>
        <v>341.8032787</v>
      </c>
      <c r="B28" s="4">
        <f>IFERROR(__xludf.DUMMYFUNCTION("""COMPUTED_VALUE"""),115.447154471544)</f>
        <v>115.4471545</v>
      </c>
      <c r="D28" s="1">
        <v>336.45833333333337</v>
      </c>
      <c r="E28" s="5">
        <v>348.43750000000006</v>
      </c>
      <c r="F28" s="4">
        <f t="shared" si="1"/>
        <v>91</v>
      </c>
    </row>
    <row r="29">
      <c r="A29" s="4">
        <f>IFERROR(__xludf.DUMMYFUNCTION("SPLIT(Raw!P29, "","")"),354.098360655737)</f>
        <v>354.0983607</v>
      </c>
      <c r="B29" s="4">
        <f>IFERROR(__xludf.DUMMYFUNCTION("""COMPUTED_VALUE"""),99.1869918699187)</f>
        <v>99.18699187</v>
      </c>
      <c r="D29" s="1">
        <v>348.43750000000006</v>
      </c>
      <c r="E29" s="5">
        <v>360.41666666666674</v>
      </c>
      <c r="F29" s="4">
        <f t="shared" si="1"/>
        <v>81</v>
      </c>
    </row>
    <row r="30">
      <c r="A30" s="4">
        <f>IFERROR(__xludf.DUMMYFUNCTION("SPLIT(Raw!P30, "","")"),365.573770491803)</f>
        <v>365.5737705</v>
      </c>
      <c r="B30" s="4">
        <f>IFERROR(__xludf.DUMMYFUNCTION("""COMPUTED_VALUE"""),95.9349593495935)</f>
        <v>95.93495935</v>
      </c>
      <c r="D30" s="1">
        <v>360.41666666666674</v>
      </c>
      <c r="E30" s="5">
        <v>372.3958333333334</v>
      </c>
      <c r="F30" s="4">
        <f t="shared" si="1"/>
        <v>75</v>
      </c>
    </row>
    <row r="31">
      <c r="A31" s="4">
        <f>IFERROR(__xludf.DUMMYFUNCTION("SPLIT(Raw!P31, "","")"),378.688524590164)</f>
        <v>378.6885246</v>
      </c>
      <c r="B31" s="4">
        <f>IFERROR(__xludf.DUMMYFUNCTION("""COMPUTED_VALUE"""),82.9268292682926)</f>
        <v>82.92682927</v>
      </c>
      <c r="D31" s="1">
        <v>372.3958333333334</v>
      </c>
      <c r="E31" s="5">
        <v>384.3750000000001</v>
      </c>
      <c r="F31" s="4">
        <f t="shared" si="1"/>
        <v>65</v>
      </c>
    </row>
    <row r="32">
      <c r="A32" s="4">
        <f>IFERROR(__xludf.DUMMYFUNCTION("SPLIT(Raw!P32, "","")"),389.344262295082)</f>
        <v>389.3442623</v>
      </c>
      <c r="B32" s="4">
        <f>IFERROR(__xludf.DUMMYFUNCTION("""COMPUTED_VALUE"""),79.6747967479674)</f>
        <v>79.67479675</v>
      </c>
      <c r="D32" s="1">
        <v>384.3750000000001</v>
      </c>
      <c r="E32" s="5">
        <v>396.3541666666668</v>
      </c>
      <c r="F32" s="4">
        <f t="shared" si="1"/>
        <v>59</v>
      </c>
    </row>
    <row r="33">
      <c r="A33" s="4">
        <f>IFERROR(__xludf.DUMMYFUNCTION("SPLIT(Raw!P33, "","")"),403.27868852459)</f>
        <v>403.2786885</v>
      </c>
      <c r="B33" s="4">
        <f>IFERROR(__xludf.DUMMYFUNCTION("""COMPUTED_VALUE"""),73.170731707317)</f>
        <v>73.17073171</v>
      </c>
      <c r="D33" s="1">
        <v>396.3541666666668</v>
      </c>
      <c r="E33" s="5">
        <v>408.3333333333335</v>
      </c>
      <c r="F33" s="4">
        <f t="shared" si="1"/>
        <v>55</v>
      </c>
    </row>
    <row r="34">
      <c r="A34" s="4">
        <f>IFERROR(__xludf.DUMMYFUNCTION("SPLIT(Raw!P34, "","")"),413.11475409836)</f>
        <v>413.1147541</v>
      </c>
      <c r="B34" s="4">
        <f>IFERROR(__xludf.DUMMYFUNCTION("""COMPUTED_VALUE"""),66.6666666666666)</f>
        <v>66.66666667</v>
      </c>
      <c r="D34" s="1">
        <v>408.3333333333335</v>
      </c>
      <c r="E34" s="5">
        <v>420.31250000000017</v>
      </c>
      <c r="F34" s="4">
        <f t="shared" si="1"/>
        <v>49</v>
      </c>
    </row>
    <row r="35">
      <c r="A35" s="4">
        <f>IFERROR(__xludf.DUMMYFUNCTION("SPLIT(Raw!P35, "","")"),426.229508196721)</f>
        <v>426.2295082</v>
      </c>
      <c r="B35" s="4">
        <f>IFERROR(__xludf.DUMMYFUNCTION("""COMPUTED_VALUE"""),63.4146341463414)</f>
        <v>63.41463415</v>
      </c>
      <c r="D35" s="1">
        <v>420.31250000000017</v>
      </c>
      <c r="E35" s="5">
        <v>432.29166666666686</v>
      </c>
      <c r="F35" s="4">
        <f t="shared" si="1"/>
        <v>49</v>
      </c>
    </row>
    <row r="36">
      <c r="A36" s="4">
        <f>IFERROR(__xludf.DUMMYFUNCTION("SPLIT(Raw!P36, "","")"),437.704918032786)</f>
        <v>437.704918</v>
      </c>
      <c r="B36" s="4">
        <f>IFERROR(__xludf.DUMMYFUNCTION("""COMPUTED_VALUE"""),56.910569105691)</f>
        <v>56.91056911</v>
      </c>
      <c r="D36" s="1">
        <v>432.29166666666686</v>
      </c>
      <c r="E36" s="5">
        <v>444.27083333333354</v>
      </c>
      <c r="F36" s="4">
        <f t="shared" si="1"/>
        <v>46</v>
      </c>
    </row>
    <row r="37">
      <c r="A37" s="4">
        <f>IFERROR(__xludf.DUMMYFUNCTION("SPLIT(Raw!P37, "","")"),450.0)</f>
        <v>450</v>
      </c>
      <c r="B37" s="4">
        <f>IFERROR(__xludf.DUMMYFUNCTION("""COMPUTED_VALUE"""),47.1544715447154)</f>
        <v>47.15447154</v>
      </c>
      <c r="D37" s="1">
        <v>444.27083333333354</v>
      </c>
      <c r="E37" s="5">
        <v>456.2500000000002</v>
      </c>
      <c r="F37" s="4">
        <f t="shared" si="1"/>
        <v>33</v>
      </c>
    </row>
    <row r="38">
      <c r="A38" s="4">
        <f>IFERROR(__xludf.DUMMYFUNCTION("SPLIT(Raw!P38, "","")"),463.11475409836)</f>
        <v>463.1147541</v>
      </c>
      <c r="B38" s="4">
        <f>IFERROR(__xludf.DUMMYFUNCTION("""COMPUTED_VALUE"""),47.1544715447154)</f>
        <v>47.15447154</v>
      </c>
      <c r="D38" s="1">
        <v>456.2500000000002</v>
      </c>
      <c r="E38" s="5">
        <v>468.2291666666669</v>
      </c>
      <c r="F38" s="4">
        <f t="shared" si="1"/>
        <v>33</v>
      </c>
    </row>
    <row r="39">
      <c r="A39" s="4">
        <f>IFERROR(__xludf.DUMMYFUNCTION("SPLIT(Raw!P39, "","")"),473.770491803278)</f>
        <v>473.7704918</v>
      </c>
      <c r="B39" s="4">
        <f>IFERROR(__xludf.DUMMYFUNCTION("""COMPUTED_VALUE"""),40.650406504065)</f>
        <v>40.6504065</v>
      </c>
      <c r="D39" s="1">
        <v>468.2291666666669</v>
      </c>
      <c r="E39" s="5">
        <v>480.2083333333336</v>
      </c>
      <c r="F39" s="4">
        <f t="shared" si="1"/>
        <v>36</v>
      </c>
    </row>
    <row r="40">
      <c r="A40" s="4">
        <f>IFERROR(__xludf.DUMMYFUNCTION("SPLIT(Raw!P40, "","")"),485.245901639344)</f>
        <v>485.2459016</v>
      </c>
      <c r="B40" s="4">
        <f>IFERROR(__xludf.DUMMYFUNCTION("""COMPUTED_VALUE"""),37.3983739837398)</f>
        <v>37.39837398</v>
      </c>
      <c r="D40" s="1">
        <v>480.2083333333336</v>
      </c>
      <c r="E40" s="5">
        <v>492.1875000000003</v>
      </c>
      <c r="F40" s="4">
        <f t="shared" si="1"/>
        <v>33</v>
      </c>
    </row>
    <row r="41">
      <c r="A41" s="4">
        <f>IFERROR(__xludf.DUMMYFUNCTION("SPLIT(Raw!P41, "","")"),499.180327868852)</f>
        <v>499.1803279</v>
      </c>
      <c r="B41" s="4">
        <f>IFERROR(__xludf.DUMMYFUNCTION("""COMPUTED_VALUE"""),37.3983739837398)</f>
        <v>37.39837398</v>
      </c>
      <c r="D41" s="1">
        <v>492.1875000000003</v>
      </c>
      <c r="E41" s="5">
        <v>504.16666666666697</v>
      </c>
      <c r="F41" s="4">
        <f t="shared" si="1"/>
        <v>36</v>
      </c>
    </row>
    <row r="42">
      <c r="A42" s="4">
        <f>IFERROR(__xludf.DUMMYFUNCTION("SPLIT(Raw!P42, "","")"),510.655737704918)</f>
        <v>510.6557377</v>
      </c>
      <c r="B42" s="4">
        <f>IFERROR(__xludf.DUMMYFUNCTION("""COMPUTED_VALUE"""),30.8943089430894)</f>
        <v>30.89430894</v>
      </c>
      <c r="D42" s="1">
        <v>504.16666666666697</v>
      </c>
      <c r="E42" s="5">
        <v>516.1458333333336</v>
      </c>
      <c r="F42" s="4">
        <f t="shared" si="1"/>
        <v>26</v>
      </c>
    </row>
    <row r="43">
      <c r="A43" s="4">
        <f>IFERROR(__xludf.DUMMYFUNCTION("SPLIT(Raw!P43, "","")"),521.311475409836)</f>
        <v>521.3114754</v>
      </c>
      <c r="B43" s="4">
        <f>IFERROR(__xludf.DUMMYFUNCTION("""COMPUTED_VALUE"""),27.6422764227642)</f>
        <v>27.64227642</v>
      </c>
      <c r="D43" s="1">
        <v>516.1458333333336</v>
      </c>
      <c r="E43" s="5">
        <v>528.1250000000002</v>
      </c>
      <c r="F43" s="4">
        <f t="shared" si="1"/>
        <v>23</v>
      </c>
    </row>
    <row r="44">
      <c r="A44" s="4">
        <f>IFERROR(__xludf.DUMMYFUNCTION("SPLIT(Raw!P44, "","")"),535.245901639344)</f>
        <v>535.2459016</v>
      </c>
      <c r="B44" s="4">
        <f>IFERROR(__xludf.DUMMYFUNCTION("""COMPUTED_VALUE"""),27.6422764227642)</f>
        <v>27.64227642</v>
      </c>
      <c r="D44" s="1">
        <v>528.1250000000002</v>
      </c>
      <c r="E44" s="5">
        <v>540.1041666666669</v>
      </c>
      <c r="F44" s="4">
        <f t="shared" si="1"/>
        <v>23</v>
      </c>
    </row>
    <row r="45">
      <c r="A45" s="4">
        <f>IFERROR(__xludf.DUMMYFUNCTION("SPLIT(Raw!P45, "","")"),546.721311475409)</f>
        <v>546.7213115</v>
      </c>
      <c r="B45" s="4">
        <f>IFERROR(__xludf.DUMMYFUNCTION("""COMPUTED_VALUE"""),24.390243902439)</f>
        <v>24.3902439</v>
      </c>
      <c r="D45" s="1">
        <v>540.1041666666669</v>
      </c>
      <c r="E45" s="5">
        <v>552.0833333333335</v>
      </c>
      <c r="F45" s="4">
        <f t="shared" si="1"/>
        <v>20</v>
      </c>
    </row>
    <row r="46">
      <c r="A46" s="4">
        <f>IFERROR(__xludf.DUMMYFUNCTION("SPLIT(Raw!P46, "","")"),557.377049180328)</f>
        <v>557.3770492</v>
      </c>
      <c r="B46" s="4">
        <f>IFERROR(__xludf.DUMMYFUNCTION("""COMPUTED_VALUE"""),24.390243902439)</f>
        <v>24.3902439</v>
      </c>
      <c r="D46" s="1">
        <v>552.0833333333335</v>
      </c>
      <c r="E46" s="5">
        <v>564.0625000000001</v>
      </c>
      <c r="F46" s="4">
        <f t="shared" si="1"/>
        <v>20</v>
      </c>
    </row>
    <row r="47">
      <c r="A47" s="4">
        <f>IFERROR(__xludf.DUMMYFUNCTION("SPLIT(Raw!P47, "","")"),572.131147540983)</f>
        <v>572.1311475</v>
      </c>
      <c r="B47" s="4">
        <f>IFERROR(__xludf.DUMMYFUNCTION("""COMPUTED_VALUE"""),21.1382113821138)</f>
        <v>21.13821138</v>
      </c>
      <c r="D47" s="1">
        <v>564.0625000000001</v>
      </c>
      <c r="E47" s="5">
        <v>576.0416666666667</v>
      </c>
      <c r="F47" s="4">
        <f t="shared" si="1"/>
        <v>20</v>
      </c>
    </row>
    <row r="48">
      <c r="A48" s="4">
        <f>IFERROR(__xludf.DUMMYFUNCTION("SPLIT(Raw!P48, "","")"),585.245901639344)</f>
        <v>585.2459016</v>
      </c>
      <c r="B48" s="4">
        <f>IFERROR(__xludf.DUMMYFUNCTION("""COMPUTED_VALUE"""),14.6341463414634)</f>
        <v>14.63414634</v>
      </c>
      <c r="D48" s="1">
        <v>576.0416666666667</v>
      </c>
      <c r="E48" s="5">
        <v>588.0208333333334</v>
      </c>
      <c r="F48" s="4">
        <f t="shared" si="1"/>
        <v>0</v>
      </c>
    </row>
    <row r="49">
      <c r="A49" s="4">
        <f>IFERROR(__xludf.DUMMYFUNCTION("SPLIT(Raw!P49, "","")"),594.262295081967)</f>
        <v>594.2622951</v>
      </c>
      <c r="B49" s="4">
        <f>IFERROR(__xludf.DUMMYFUNCTION("""COMPUTED_VALUE"""),281.30081300813)</f>
        <v>281.300813</v>
      </c>
      <c r="D49" s="1">
        <v>588.0208333333334</v>
      </c>
      <c r="E49" s="5">
        <v>600.0</v>
      </c>
      <c r="F49" s="4">
        <f t="shared" si="1"/>
        <v>202</v>
      </c>
    </row>
    <row r="50">
      <c r="A50" s="4">
        <f>IFERROR(__xludf.DUMMYFUNCTION("SPLIT(Raw!P50, "","")"),30.327868852459)</f>
        <v>30.32786885</v>
      </c>
      <c r="B50" s="4">
        <f>IFERROR(__xludf.DUMMYFUNCTION("""COMPUTED_VALUE"""),4.8780487804878)</f>
        <v>4.87804878</v>
      </c>
    </row>
    <row r="51">
      <c r="A51" s="4">
        <f>IFERROR(__xludf.DUMMYFUNCTION("SPLIT(Raw!P51, "","")"),41.8032786885245)</f>
        <v>41.80327869</v>
      </c>
      <c r="B51" s="4">
        <f>IFERROR(__xludf.DUMMYFUNCTION("""COMPUTED_VALUE"""),4.8780487804878)</f>
        <v>4.87804878</v>
      </c>
    </row>
    <row r="52">
      <c r="A52" s="4">
        <f>IFERROR(__xludf.DUMMYFUNCTION("SPLIT(Raw!P52, "","")"),53.2786885245901)</f>
        <v>53.27868852</v>
      </c>
      <c r="B52" s="4">
        <f>IFERROR(__xludf.DUMMYFUNCTION("""COMPUTED_VALUE"""),4.8780487804878)</f>
        <v>4.87804878</v>
      </c>
    </row>
    <row r="53">
      <c r="A53" s="4">
        <f>IFERROR(__xludf.DUMMYFUNCTION("SPLIT(Raw!P53, "","")"),61.4754098360655)</f>
        <v>61.47540984</v>
      </c>
      <c r="B53" s="4">
        <f>IFERROR(__xludf.DUMMYFUNCTION("""COMPUTED_VALUE"""),8.130081300813)</f>
        <v>8.130081301</v>
      </c>
    </row>
    <row r="54">
      <c r="A54" s="4">
        <f>IFERROR(__xludf.DUMMYFUNCTION("SPLIT(Raw!P54, "","")"),79.5081967213114)</f>
        <v>79.50819672</v>
      </c>
      <c r="B54" s="4">
        <f>IFERROR(__xludf.DUMMYFUNCTION("""COMPUTED_VALUE"""),21.1382113821138)</f>
        <v>21.13821138</v>
      </c>
    </row>
    <row r="55">
      <c r="A55" s="4">
        <f>IFERROR(__xludf.DUMMYFUNCTION("SPLIT(Raw!P55, "","")"),90.1639344262295)</f>
        <v>90.16393443</v>
      </c>
      <c r="B55" s="4">
        <f>IFERROR(__xludf.DUMMYFUNCTION("""COMPUTED_VALUE"""),30.8943089430894)</f>
        <v>30.89430894</v>
      </c>
    </row>
    <row r="56">
      <c r="A56" s="4">
        <f>IFERROR(__xludf.DUMMYFUNCTION("SPLIT(Raw!P56, "","")"),102.459016393442)</f>
        <v>102.4590164</v>
      </c>
      <c r="B56" s="4">
        <f>IFERROR(__xludf.DUMMYFUNCTION("""COMPUTED_VALUE"""),47.1544715447154)</f>
        <v>47.15447154</v>
      </c>
    </row>
    <row r="57">
      <c r="A57" s="4">
        <f>IFERROR(__xludf.DUMMYFUNCTION("SPLIT(Raw!P57, "","")"),113.11475409836)</f>
        <v>113.1147541</v>
      </c>
      <c r="B57" s="4">
        <f>IFERROR(__xludf.DUMMYFUNCTION("""COMPUTED_VALUE"""),60.1626016260162)</f>
        <v>60.16260163</v>
      </c>
    </row>
    <row r="58">
      <c r="A58" s="4">
        <f>IFERROR(__xludf.DUMMYFUNCTION("SPLIT(Raw!P58, "","")"),125.409836065573)</f>
        <v>125.4098361</v>
      </c>
      <c r="B58" s="4">
        <f>IFERROR(__xludf.DUMMYFUNCTION("""COMPUTED_VALUE"""),76.4227642276422)</f>
        <v>76.42276423</v>
      </c>
    </row>
    <row r="59">
      <c r="A59" s="4">
        <f>IFERROR(__xludf.DUMMYFUNCTION("SPLIT(Raw!P59, "","")"),137.704918032786)</f>
        <v>137.704918</v>
      </c>
      <c r="B59" s="4">
        <f>IFERROR(__xludf.DUMMYFUNCTION("""COMPUTED_VALUE"""),86.1788617886179)</f>
        <v>86.17886179</v>
      </c>
    </row>
    <row r="60">
      <c r="A60" s="4">
        <f>IFERROR(__xludf.DUMMYFUNCTION("SPLIT(Raw!P60, "","")"),151.639344262295)</f>
        <v>151.6393443</v>
      </c>
      <c r="B60" s="4">
        <f>IFERROR(__xludf.DUMMYFUNCTION("""COMPUTED_VALUE"""),79.6747967479674)</f>
        <v>79.67479675</v>
      </c>
    </row>
    <row r="61">
      <c r="A61" s="4">
        <f>IFERROR(__xludf.DUMMYFUNCTION("SPLIT(Raw!P61, "","")"),159.83606557377)</f>
        <v>159.8360656</v>
      </c>
      <c r="B61" s="4">
        <f>IFERROR(__xludf.DUMMYFUNCTION("""COMPUTED_VALUE"""),86.1788617886179)</f>
        <v>86.17886179</v>
      </c>
    </row>
    <row r="62">
      <c r="A62" s="4">
        <f>IFERROR(__xludf.DUMMYFUNCTION("SPLIT(Raw!P62, "","")"),174.590163934426)</f>
        <v>174.5901639</v>
      </c>
      <c r="B62" s="4">
        <f>IFERROR(__xludf.DUMMYFUNCTION("""COMPUTED_VALUE"""),76.4227642276422)</f>
        <v>76.42276423</v>
      </c>
    </row>
    <row r="63">
      <c r="A63" s="4">
        <f>IFERROR(__xludf.DUMMYFUNCTION("SPLIT(Raw!P63, "","")"),184.426229508196)</f>
        <v>184.4262295</v>
      </c>
      <c r="B63" s="4">
        <f>IFERROR(__xludf.DUMMYFUNCTION("""COMPUTED_VALUE"""),76.4227642276422)</f>
        <v>76.42276423</v>
      </c>
    </row>
    <row r="64">
      <c r="A64" s="4">
        <f>IFERROR(__xludf.DUMMYFUNCTION("SPLIT(Raw!P64, "","")"),197.540983606557)</f>
        <v>197.5409836</v>
      </c>
      <c r="B64" s="4">
        <f>IFERROR(__xludf.DUMMYFUNCTION("""COMPUTED_VALUE"""),63.4146341463414)</f>
        <v>63.41463415</v>
      </c>
    </row>
    <row r="65">
      <c r="A65" s="4">
        <f>IFERROR(__xludf.DUMMYFUNCTION("SPLIT(Raw!P65, "","")"),210.655737704918)</f>
        <v>210.6557377</v>
      </c>
      <c r="B65" s="4">
        <f>IFERROR(__xludf.DUMMYFUNCTION("""COMPUTED_VALUE"""),60.1626016260162)</f>
        <v>60.16260163</v>
      </c>
    </row>
    <row r="66">
      <c r="A66" s="4">
        <f>IFERROR(__xludf.DUMMYFUNCTION("SPLIT(Raw!P66, "","")"),220.491803278688)</f>
        <v>220.4918033</v>
      </c>
      <c r="B66" s="4">
        <f>IFERROR(__xludf.DUMMYFUNCTION("""COMPUTED_VALUE"""),60.1626016260162)</f>
        <v>60.16260163</v>
      </c>
    </row>
    <row r="67">
      <c r="A67" s="4">
        <f>IFERROR(__xludf.DUMMYFUNCTION("SPLIT(Raw!P67, "","")"),235.245901639344)</f>
        <v>235.2459016</v>
      </c>
      <c r="B67" s="4">
        <f>IFERROR(__xludf.DUMMYFUNCTION("""COMPUTED_VALUE"""),50.4065040650406)</f>
        <v>50.40650407</v>
      </c>
    </row>
    <row r="68">
      <c r="A68" s="4">
        <f>IFERROR(__xludf.DUMMYFUNCTION("SPLIT(Raw!P68, "","")"),245.081967213114)</f>
        <v>245.0819672</v>
      </c>
      <c r="B68" s="4">
        <f>IFERROR(__xludf.DUMMYFUNCTION("""COMPUTED_VALUE"""),43.9024390243902)</f>
        <v>43.90243902</v>
      </c>
    </row>
    <row r="69">
      <c r="A69" s="4">
        <f>IFERROR(__xludf.DUMMYFUNCTION("SPLIT(Raw!P69, "","")"),257.377049180327)</f>
        <v>257.3770492</v>
      </c>
      <c r="B69" s="4">
        <f>IFERROR(__xludf.DUMMYFUNCTION("""COMPUTED_VALUE"""),43.9024390243902)</f>
        <v>43.90243902</v>
      </c>
    </row>
    <row r="70">
      <c r="A70" s="4">
        <f>IFERROR(__xludf.DUMMYFUNCTION("SPLIT(Raw!P70, "","")"),268.032786885245)</f>
        <v>268.0327869</v>
      </c>
      <c r="B70" s="4">
        <f>IFERROR(__xludf.DUMMYFUNCTION("""COMPUTED_VALUE"""),34.1463414634146)</f>
        <v>34.14634146</v>
      </c>
    </row>
    <row r="71">
      <c r="A71" s="4">
        <f>IFERROR(__xludf.DUMMYFUNCTION("SPLIT(Raw!P71, "","")"),280.327868852459)</f>
        <v>280.3278689</v>
      </c>
      <c r="B71" s="4">
        <f>IFERROR(__xludf.DUMMYFUNCTION("""COMPUTED_VALUE"""),37.3983739837398)</f>
        <v>37.39837398</v>
      </c>
    </row>
    <row r="72">
      <c r="A72" s="4">
        <f>IFERROR(__xludf.DUMMYFUNCTION("SPLIT(Raw!P72, "","")"),292.622950819672)</f>
        <v>292.6229508</v>
      </c>
      <c r="B72" s="4">
        <f>IFERROR(__xludf.DUMMYFUNCTION("""COMPUTED_VALUE"""),34.1463414634146)</f>
        <v>34.14634146</v>
      </c>
    </row>
    <row r="73">
      <c r="A73" s="4">
        <f>IFERROR(__xludf.DUMMYFUNCTION("SPLIT(Raw!P73, "","")"),304.098360655737)</f>
        <v>304.0983607</v>
      </c>
      <c r="B73" s="4">
        <f>IFERROR(__xludf.DUMMYFUNCTION("""COMPUTED_VALUE"""),30.8943089430894)</f>
        <v>30.89430894</v>
      </c>
    </row>
    <row r="74">
      <c r="A74" s="4">
        <f>IFERROR(__xludf.DUMMYFUNCTION("SPLIT(Raw!P74, "","")"),318.032786885245)</f>
        <v>318.0327869</v>
      </c>
      <c r="B74" s="4">
        <f>IFERROR(__xludf.DUMMYFUNCTION("""COMPUTED_VALUE"""),27.6422764227642)</f>
        <v>27.64227642</v>
      </c>
    </row>
    <row r="75">
      <c r="A75" s="4">
        <f>IFERROR(__xludf.DUMMYFUNCTION("SPLIT(Raw!P75, "","")"),327.868852459016)</f>
        <v>327.8688525</v>
      </c>
      <c r="B75" s="4">
        <f>IFERROR(__xludf.DUMMYFUNCTION("""COMPUTED_VALUE"""),24.390243902439)</f>
        <v>24.3902439</v>
      </c>
    </row>
    <row r="76">
      <c r="A76" s="4">
        <f>IFERROR(__xludf.DUMMYFUNCTION("SPLIT(Raw!P76, "","")"),340.983606557377)</f>
        <v>340.9836066</v>
      </c>
      <c r="B76" s="4">
        <f>IFERROR(__xludf.DUMMYFUNCTION("""COMPUTED_VALUE"""),24.390243902439)</f>
        <v>24.3902439</v>
      </c>
    </row>
    <row r="77">
      <c r="A77" s="4">
        <f>IFERROR(__xludf.DUMMYFUNCTION("SPLIT(Raw!P77, "","")"),353.27868852459)</f>
        <v>353.2786885</v>
      </c>
      <c r="B77" s="4">
        <f>IFERROR(__xludf.DUMMYFUNCTION("""COMPUTED_VALUE"""),17.8861788617886)</f>
        <v>17.88617886</v>
      </c>
    </row>
    <row r="78">
      <c r="A78" s="4">
        <f>IFERROR(__xludf.DUMMYFUNCTION("SPLIT(Raw!P78, "","")"),364.754098360655)</f>
        <v>364.7540984</v>
      </c>
      <c r="B78" s="4">
        <f>IFERROR(__xludf.DUMMYFUNCTION("""COMPUTED_VALUE"""),21.1382113821138)</f>
        <v>21.13821138</v>
      </c>
    </row>
    <row r="79">
      <c r="A79" s="4">
        <f>IFERROR(__xludf.DUMMYFUNCTION("SPLIT(Raw!P79, "","")"),377.868852459016)</f>
        <v>377.8688525</v>
      </c>
      <c r="B79" s="4">
        <f>IFERROR(__xludf.DUMMYFUNCTION("""COMPUTED_VALUE"""),17.8861788617886)</f>
        <v>17.88617886</v>
      </c>
    </row>
    <row r="80">
      <c r="A80" s="4">
        <f>IFERROR(__xludf.DUMMYFUNCTION("SPLIT(Raw!P80, "","")"),388.524590163934)</f>
        <v>388.5245902</v>
      </c>
      <c r="B80" s="4">
        <f>IFERROR(__xludf.DUMMYFUNCTION("""COMPUTED_VALUE"""),21.1382113821138)</f>
        <v>21.13821138</v>
      </c>
    </row>
    <row r="81">
      <c r="A81" s="4">
        <f>IFERROR(__xludf.DUMMYFUNCTION("SPLIT(Raw!P81, "","")"),400.819672131147)</f>
        <v>400.8196721</v>
      </c>
      <c r="B81" s="4">
        <f>IFERROR(__xludf.DUMMYFUNCTION("""COMPUTED_VALUE"""),17.8861788617886)</f>
        <v>17.88617886</v>
      </c>
    </row>
    <row r="82">
      <c r="A82" s="4">
        <f>IFERROR(__xludf.DUMMYFUNCTION("SPLIT(Raw!P82, "","")"),411.475409836065)</f>
        <v>411.4754098</v>
      </c>
      <c r="B82" s="4">
        <f>IFERROR(__xludf.DUMMYFUNCTION("""COMPUTED_VALUE"""),17.8861788617886)</f>
        <v>17.88617886</v>
      </c>
    </row>
    <row r="83">
      <c r="A83" s="4">
        <f>IFERROR(__xludf.DUMMYFUNCTION("SPLIT(Raw!P83, "","")"),427.049180327868)</f>
        <v>427.0491803</v>
      </c>
      <c r="B83" s="4">
        <f>IFERROR(__xludf.DUMMYFUNCTION("""COMPUTED_VALUE"""),14.6341463414634)</f>
        <v>14.63414634</v>
      </c>
    </row>
    <row r="84">
      <c r="A84" s="4">
        <f>IFERROR(__xludf.DUMMYFUNCTION("SPLIT(Raw!P84, "","")"),436.885245901639)</f>
        <v>436.8852459</v>
      </c>
      <c r="B84" s="4">
        <f>IFERROR(__xludf.DUMMYFUNCTION("""COMPUTED_VALUE"""),11.3821138211382)</f>
        <v>11.38211382</v>
      </c>
    </row>
    <row r="85">
      <c r="A85" s="4">
        <f>IFERROR(__xludf.DUMMYFUNCTION("SPLIT(Raw!P85, "","")"),450.819672131147)</f>
        <v>450.8196721</v>
      </c>
      <c r="B85" s="4">
        <f>IFERROR(__xludf.DUMMYFUNCTION("""COMPUTED_VALUE"""),14.6341463414634)</f>
        <v>14.63414634</v>
      </c>
    </row>
    <row r="86">
      <c r="A86" s="4">
        <f>IFERROR(__xludf.DUMMYFUNCTION("SPLIT(Raw!P86, "","")"),463.934426229508)</f>
        <v>463.9344262</v>
      </c>
      <c r="B86" s="4">
        <f>IFERROR(__xludf.DUMMYFUNCTION("""COMPUTED_VALUE"""),14.6341463414634)</f>
        <v>14.63414634</v>
      </c>
    </row>
    <row r="87">
      <c r="A87" s="4">
        <f>IFERROR(__xludf.DUMMYFUNCTION("SPLIT(Raw!P87, "","")"),477.049180327868)</f>
        <v>477.0491803</v>
      </c>
      <c r="B87" s="4">
        <f>IFERROR(__xludf.DUMMYFUNCTION("""COMPUTED_VALUE"""),4.8780487804878)</f>
        <v>4.87804878</v>
      </c>
    </row>
    <row r="88">
      <c r="A88" s="4">
        <f>IFERROR(__xludf.DUMMYFUNCTION("SPLIT(Raw!P88, "","")"),486.885245901639)</f>
        <v>486.8852459</v>
      </c>
      <c r="B88" s="4">
        <f>IFERROR(__xludf.DUMMYFUNCTION("""COMPUTED_VALUE"""),4.8780487804878)</f>
        <v>4.87804878</v>
      </c>
    </row>
    <row r="89">
      <c r="A89" s="4">
        <f>IFERROR(__xludf.DUMMYFUNCTION("SPLIT(Raw!P89, "","")"),499.180327868852)</f>
        <v>499.1803279</v>
      </c>
      <c r="B89" s="4">
        <f>IFERROR(__xludf.DUMMYFUNCTION("""COMPUTED_VALUE"""),1.6260162601626)</f>
        <v>1.62601626</v>
      </c>
    </row>
    <row r="90">
      <c r="A90" s="4">
        <f>IFERROR(__xludf.DUMMYFUNCTION("SPLIT(Raw!P90, "","")"),509.016393442623)</f>
        <v>509.0163934</v>
      </c>
      <c r="B90" s="4">
        <f>IFERROR(__xludf.DUMMYFUNCTION("""COMPUTED_VALUE"""),4.8780487804878)</f>
        <v>4.87804878</v>
      </c>
    </row>
    <row r="91">
      <c r="A91" s="4">
        <f>IFERROR(__xludf.DUMMYFUNCTION("SPLIT(Raw!P91, "","")"),522.131147540983)</f>
        <v>522.1311475</v>
      </c>
      <c r="B91" s="4">
        <f>IFERROR(__xludf.DUMMYFUNCTION("""COMPUTED_VALUE"""),4.8780487804878)</f>
        <v>4.87804878</v>
      </c>
    </row>
    <row r="92">
      <c r="A92" s="4">
        <f>IFERROR(__xludf.DUMMYFUNCTION("SPLIT(Raw!P92, "","")"),540.163934426229)</f>
        <v>540.1639344</v>
      </c>
      <c r="B92" s="4">
        <f>IFERROR(__xludf.DUMMYFUNCTION("""COMPUTED_VALUE"""),4.8780487804878)</f>
        <v>4.87804878</v>
      </c>
    </row>
    <row r="93">
      <c r="A93" s="4">
        <f>IFERROR(__xludf.DUMMYFUNCTION("SPLIT(Raw!P93, "","")"),550.819672131147)</f>
        <v>550.8196721</v>
      </c>
      <c r="B93" s="4">
        <f>IFERROR(__xludf.DUMMYFUNCTION("""COMPUTED_VALUE"""),4.8780487804878)</f>
        <v>4.87804878</v>
      </c>
    </row>
    <row r="94">
      <c r="A94" s="4">
        <f>IFERROR(__xludf.DUMMYFUNCTION("SPLIT(Raw!P94, "","")"),562.295081967213)</f>
        <v>562.295082</v>
      </c>
      <c r="B94" s="4">
        <f>IFERROR(__xludf.DUMMYFUNCTION("""COMPUTED_VALUE"""),4.8780487804878)</f>
        <v>4.87804878</v>
      </c>
    </row>
    <row r="95">
      <c r="A95" s="4">
        <f>IFERROR(__xludf.DUMMYFUNCTION("SPLIT(Raw!P95, "","")"),576.229508196721)</f>
        <v>576.2295082</v>
      </c>
      <c r="B95" s="4">
        <f>IFERROR(__xludf.DUMMYFUNCTION("""COMPUTED_VALUE"""),1.6260162601626)</f>
        <v>1.62601626</v>
      </c>
    </row>
    <row r="96">
      <c r="A96" s="4">
        <f>IFERROR(__xludf.DUMMYFUNCTION("SPLIT(Raw!P96, "","")"),585.245901639344)</f>
        <v>585.2459016</v>
      </c>
      <c r="B96" s="4">
        <f>IFERROR(__xludf.DUMMYFUNCTION("""COMPUTED_VALUE"""),14.6341463414634)</f>
        <v>14.63414634</v>
      </c>
    </row>
    <row r="97">
      <c r="A97" s="4">
        <f>IFERROR(__xludf.DUMMYFUNCTION("SPLIT(Raw!P97, "","")"),594.262295081967)</f>
        <v>594.2622951</v>
      </c>
      <c r="B97" s="4">
        <f>IFERROR(__xludf.DUMMYFUNCTION("""COMPUTED_VALUE"""),79.6747967479674)</f>
        <v>79.67479675</v>
      </c>
    </row>
  </sheetData>
  <mergeCells count="1">
    <mergeCell ref="D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553</v>
      </c>
      <c r="B1" s="1" t="s">
        <v>554</v>
      </c>
      <c r="D1" s="2" t="s">
        <v>555</v>
      </c>
      <c r="F1" s="3" t="s">
        <v>554</v>
      </c>
    </row>
    <row r="2">
      <c r="A2" s="4">
        <f>IFERROR(__xludf.DUMMYFUNCTION("SPLIT(Raw!L27, "","")"),90.8424908424908)</f>
        <v>90.84249084</v>
      </c>
      <c r="B2" s="4">
        <f>IFERROR(__xludf.DUMMYFUNCTION("""COMPUTED_VALUE"""),37.7049180327868)</f>
        <v>37.70491803</v>
      </c>
      <c r="D2" s="5">
        <v>85.0</v>
      </c>
      <c r="E2" s="5">
        <v>96.97674418604652</v>
      </c>
      <c r="F2" s="4">
        <f t="shared" ref="F2:F44" si="1">round(B2-B45,0)</f>
        <v>33</v>
      </c>
    </row>
    <row r="3">
      <c r="A3" s="4">
        <f>IFERROR(__xludf.DUMMYFUNCTION("SPLIT(Raw!L28, "","")"),103.296703296703)</f>
        <v>103.2967033</v>
      </c>
      <c r="B3" s="4">
        <f>IFERROR(__xludf.DUMMYFUNCTION("""COMPUTED_VALUE"""),281.147540983606)</f>
        <v>281.147541</v>
      </c>
      <c r="D3" s="5">
        <v>96.97674418604652</v>
      </c>
      <c r="E3" s="5">
        <v>108.95348837209303</v>
      </c>
      <c r="F3" s="4">
        <f t="shared" si="1"/>
        <v>218</v>
      </c>
    </row>
    <row r="4">
      <c r="A4" s="4">
        <f>IFERROR(__xludf.DUMMYFUNCTION("SPLIT(Raw!L29, "","")"),114.285714285714)</f>
        <v>114.2857143</v>
      </c>
      <c r="B4" s="4">
        <f>IFERROR(__xludf.DUMMYFUNCTION("""COMPUTED_VALUE"""),568.852459016393)</f>
        <v>568.852459</v>
      </c>
      <c r="D4" s="5">
        <v>108.95348837209303</v>
      </c>
      <c r="E4" s="5">
        <v>120.93023255813955</v>
      </c>
      <c r="F4" s="4">
        <f t="shared" si="1"/>
        <v>461</v>
      </c>
    </row>
    <row r="5">
      <c r="A5" s="4">
        <f>IFERROR(__xludf.DUMMYFUNCTION("SPLIT(Raw!L30, "","")"),126.739926739926)</f>
        <v>126.7399267</v>
      </c>
      <c r="B5" s="4">
        <f>IFERROR(__xludf.DUMMYFUNCTION("""COMPUTED_VALUE"""),812.295081967213)</f>
        <v>812.295082</v>
      </c>
      <c r="D5" s="5">
        <v>120.93023255813955</v>
      </c>
      <c r="E5" s="5">
        <v>132.90697674418607</v>
      </c>
      <c r="F5" s="4">
        <f t="shared" si="1"/>
        <v>682</v>
      </c>
    </row>
    <row r="6">
      <c r="A6" s="4">
        <f>IFERROR(__xludf.DUMMYFUNCTION("SPLIT(Raw!L31, "","")"),139.194139194139)</f>
        <v>139.1941392</v>
      </c>
      <c r="B6" s="4">
        <f>IFERROR(__xludf.DUMMYFUNCTION("""COMPUTED_VALUE"""),1037.29508196721)</f>
        <v>1037.295082</v>
      </c>
      <c r="D6" s="5">
        <v>132.90697674418607</v>
      </c>
      <c r="E6" s="5">
        <v>144.88372093023258</v>
      </c>
      <c r="F6" s="4">
        <f t="shared" si="1"/>
        <v>904</v>
      </c>
    </row>
    <row r="7">
      <c r="A7" s="4">
        <f>IFERROR(__xludf.DUMMYFUNCTION("SPLIT(Raw!L32, "","")"),149.450549450549)</f>
        <v>149.4505495</v>
      </c>
      <c r="B7" s="4">
        <f>IFERROR(__xludf.DUMMYFUNCTION("""COMPUTED_VALUE"""),1258.60655737704)</f>
        <v>1258.606557</v>
      </c>
      <c r="D7" s="5">
        <v>144.88372093023258</v>
      </c>
      <c r="E7" s="5">
        <v>156.8604651162791</v>
      </c>
      <c r="F7" s="4">
        <f t="shared" si="1"/>
        <v>1132</v>
      </c>
    </row>
    <row r="8">
      <c r="A8" s="4">
        <f>IFERROR(__xludf.DUMMYFUNCTION("SPLIT(Raw!L33, "","")"),161.904761904761)</f>
        <v>161.9047619</v>
      </c>
      <c r="B8" s="4">
        <f>IFERROR(__xludf.DUMMYFUNCTION("""COMPUTED_VALUE"""),1420.90163934426)</f>
        <v>1420.901639</v>
      </c>
      <c r="D8" s="5">
        <v>156.8604651162791</v>
      </c>
      <c r="E8" s="5">
        <v>168.83720930232562</v>
      </c>
      <c r="F8" s="4">
        <f t="shared" si="1"/>
        <v>1295</v>
      </c>
    </row>
    <row r="9">
      <c r="A9" s="4">
        <f>IFERROR(__xludf.DUMMYFUNCTION("SPLIT(Raw!L34, "","")"),175.091575091575)</f>
        <v>175.0915751</v>
      </c>
      <c r="B9" s="4">
        <f>IFERROR(__xludf.DUMMYFUNCTION("""COMPUTED_VALUE"""),1343.44262295081)</f>
        <v>1343.442623</v>
      </c>
      <c r="D9" s="5">
        <v>168.83720930232562</v>
      </c>
      <c r="E9" s="5">
        <v>180.81395348837214</v>
      </c>
      <c r="F9" s="4">
        <f t="shared" si="1"/>
        <v>1239</v>
      </c>
    </row>
    <row r="10">
      <c r="A10" s="4">
        <f>IFERROR(__xludf.DUMMYFUNCTION("SPLIT(Raw!L35, "","")"),186.813186813186)</f>
        <v>186.8131868</v>
      </c>
      <c r="B10" s="4">
        <f>IFERROR(__xludf.DUMMYFUNCTION("""COMPUTED_VALUE"""),1074.18032786885)</f>
        <v>1074.180328</v>
      </c>
      <c r="D10" s="5">
        <v>180.81395348837214</v>
      </c>
      <c r="E10" s="5">
        <v>192.79069767441865</v>
      </c>
      <c r="F10" s="4">
        <f t="shared" si="1"/>
        <v>977</v>
      </c>
    </row>
    <row r="11">
      <c r="A11" s="4">
        <f>IFERROR(__xludf.DUMMYFUNCTION("SPLIT(Raw!L36, "","")"),198.534798534798)</f>
        <v>198.5347985</v>
      </c>
      <c r="B11" s="4">
        <f>IFERROR(__xludf.DUMMYFUNCTION("""COMPUTED_VALUE"""),801.229508196721)</f>
        <v>801.2295082</v>
      </c>
      <c r="D11" s="5">
        <v>192.79069767441865</v>
      </c>
      <c r="E11" s="5">
        <v>204.76744186046517</v>
      </c>
      <c r="F11" s="4">
        <f t="shared" si="1"/>
        <v>723</v>
      </c>
    </row>
    <row r="12">
      <c r="A12" s="4">
        <f>IFERROR(__xludf.DUMMYFUNCTION("SPLIT(Raw!L37, "","")"),210.98901098901)</f>
        <v>210.989011</v>
      </c>
      <c r="B12" s="4">
        <f>IFERROR(__xludf.DUMMYFUNCTION("""COMPUTED_VALUE"""),598.360655737705)</f>
        <v>598.3606557</v>
      </c>
      <c r="D12" s="5">
        <v>204.76744186046517</v>
      </c>
      <c r="E12" s="5">
        <v>216.7441860465117</v>
      </c>
      <c r="F12" s="4">
        <f t="shared" si="1"/>
        <v>539</v>
      </c>
    </row>
    <row r="13">
      <c r="A13" s="4">
        <f>IFERROR(__xludf.DUMMYFUNCTION("SPLIT(Raw!L38, "","")"),222.710622710622)</f>
        <v>222.7106227</v>
      </c>
      <c r="B13" s="4">
        <f>IFERROR(__xludf.DUMMYFUNCTION("""COMPUTED_VALUE"""),450.819672131147)</f>
        <v>450.8196721</v>
      </c>
      <c r="D13" s="5">
        <v>216.7441860465117</v>
      </c>
      <c r="E13" s="5">
        <v>228.7209302325582</v>
      </c>
      <c r="F13" s="4">
        <f t="shared" si="1"/>
        <v>398</v>
      </c>
    </row>
    <row r="14">
      <c r="A14" s="4">
        <f>IFERROR(__xludf.DUMMYFUNCTION("SPLIT(Raw!L39, "","")"),233.699633699633)</f>
        <v>233.6996337</v>
      </c>
      <c r="B14" s="4">
        <f>IFERROR(__xludf.DUMMYFUNCTION("""COMPUTED_VALUE"""),358.606557377049)</f>
        <v>358.6065574</v>
      </c>
      <c r="D14" s="5">
        <v>228.7209302325582</v>
      </c>
      <c r="E14" s="5">
        <v>240.69767441860472</v>
      </c>
      <c r="F14" s="4">
        <f t="shared" si="1"/>
        <v>314</v>
      </c>
    </row>
    <row r="15">
      <c r="A15" s="4">
        <f>IFERROR(__xludf.DUMMYFUNCTION("SPLIT(Raw!L40, "","")"),246.886446886446)</f>
        <v>246.8864469</v>
      </c>
      <c r="B15" s="4">
        <f>IFERROR(__xludf.DUMMYFUNCTION("""COMPUTED_VALUE"""),277.459016393442)</f>
        <v>277.4590164</v>
      </c>
      <c r="D15" s="5">
        <v>240.69767441860472</v>
      </c>
      <c r="E15" s="5">
        <v>252.67441860465124</v>
      </c>
      <c r="F15" s="4">
        <f t="shared" si="1"/>
        <v>240</v>
      </c>
    </row>
    <row r="16">
      <c r="A16" s="4">
        <f>IFERROR(__xludf.DUMMYFUNCTION("SPLIT(Raw!L41, "","")"),258.608058608058)</f>
        <v>258.6080586</v>
      </c>
      <c r="B16" s="4">
        <f>IFERROR(__xludf.DUMMYFUNCTION("""COMPUTED_VALUE"""),218.442622950819)</f>
        <v>218.442623</v>
      </c>
      <c r="D16" s="5">
        <v>252.67441860465124</v>
      </c>
      <c r="E16" s="5">
        <v>264.65116279069775</v>
      </c>
      <c r="F16" s="4">
        <f t="shared" si="1"/>
        <v>184</v>
      </c>
    </row>
    <row r="17">
      <c r="A17" s="4">
        <f>IFERROR(__xludf.DUMMYFUNCTION("SPLIT(Raw!L42, "","")"),270.32967032967)</f>
        <v>270.3296703</v>
      </c>
      <c r="B17" s="4">
        <f>IFERROR(__xludf.DUMMYFUNCTION("""COMPUTED_VALUE"""),177.868852459016)</f>
        <v>177.8688525</v>
      </c>
      <c r="D17" s="5">
        <v>264.65116279069775</v>
      </c>
      <c r="E17" s="5">
        <v>276.62790697674427</v>
      </c>
      <c r="F17" s="4">
        <f t="shared" si="1"/>
        <v>151</v>
      </c>
    </row>
    <row r="18">
      <c r="A18" s="4">
        <f>IFERROR(__xludf.DUMMYFUNCTION("SPLIT(Raw!L43, "","")"),282.051282051282)</f>
        <v>282.0512821</v>
      </c>
      <c r="B18" s="4">
        <f>IFERROR(__xludf.DUMMYFUNCTION("""COMPUTED_VALUE"""),144.672131147541)</f>
        <v>144.6721311</v>
      </c>
      <c r="D18" s="5">
        <v>276.62790697674427</v>
      </c>
      <c r="E18" s="5">
        <v>288.6046511627908</v>
      </c>
      <c r="F18" s="4">
        <f t="shared" si="1"/>
        <v>122</v>
      </c>
    </row>
    <row r="19">
      <c r="A19" s="4">
        <f>IFERROR(__xludf.DUMMYFUNCTION("SPLIT(Raw!L44, "","")"),294.505494505494)</f>
        <v>294.5054945</v>
      </c>
      <c r="B19" s="4">
        <f>IFERROR(__xludf.DUMMYFUNCTION("""COMPUTED_VALUE"""),115.163934426229)</f>
        <v>115.1639344</v>
      </c>
      <c r="D19" s="5">
        <v>288.6046511627908</v>
      </c>
      <c r="E19" s="5">
        <v>300.5813953488373</v>
      </c>
      <c r="F19" s="4">
        <f t="shared" si="1"/>
        <v>96</v>
      </c>
    </row>
    <row r="20">
      <c r="A20" s="4">
        <f>IFERROR(__xludf.DUMMYFUNCTION("SPLIT(Raw!L45, "","")"),306.227106227106)</f>
        <v>306.2271062</v>
      </c>
      <c r="B20" s="4">
        <f>IFERROR(__xludf.DUMMYFUNCTION("""COMPUTED_VALUE"""),96.7213114754098)</f>
        <v>96.72131148</v>
      </c>
      <c r="D20" s="5">
        <v>300.5813953488373</v>
      </c>
      <c r="E20" s="5">
        <v>312.5581395348838</v>
      </c>
      <c r="F20" s="4">
        <f t="shared" si="1"/>
        <v>81</v>
      </c>
    </row>
    <row r="21">
      <c r="A21" s="4">
        <f>IFERROR(__xludf.DUMMYFUNCTION("SPLIT(Raw!L46, "","")"),317.948717948717)</f>
        <v>317.9487179</v>
      </c>
      <c r="B21" s="4">
        <f>IFERROR(__xludf.DUMMYFUNCTION("""COMPUTED_VALUE"""),81.9672131147541)</f>
        <v>81.96721311</v>
      </c>
      <c r="D21" s="5">
        <v>312.5581395348838</v>
      </c>
      <c r="E21" s="5">
        <v>324.53488372093034</v>
      </c>
      <c r="F21" s="4">
        <f t="shared" si="1"/>
        <v>66</v>
      </c>
    </row>
    <row r="22">
      <c r="A22" s="4">
        <f>IFERROR(__xludf.DUMMYFUNCTION("SPLIT(Raw!L47, "","")"),329.670329670329)</f>
        <v>329.6703297</v>
      </c>
      <c r="B22" s="4">
        <f>IFERROR(__xludf.DUMMYFUNCTION("""COMPUTED_VALUE"""),67.2131147540983)</f>
        <v>67.21311475</v>
      </c>
      <c r="D22" s="5">
        <v>324.53488372093034</v>
      </c>
      <c r="E22" s="5">
        <v>336.51162790697686</v>
      </c>
      <c r="F22" s="4">
        <f t="shared" si="1"/>
        <v>52</v>
      </c>
    </row>
    <row r="23">
      <c r="A23" s="4">
        <f>IFERROR(__xludf.DUMMYFUNCTION("SPLIT(Raw!L48, "","")"),342.124542124542)</f>
        <v>342.1245421</v>
      </c>
      <c r="B23" s="4">
        <f>IFERROR(__xludf.DUMMYFUNCTION("""COMPUTED_VALUE"""),56.1475409836065)</f>
        <v>56.14754098</v>
      </c>
      <c r="D23" s="5">
        <v>336.51162790697686</v>
      </c>
      <c r="E23" s="5">
        <v>348.4883720930234</v>
      </c>
      <c r="F23" s="4">
        <f t="shared" si="1"/>
        <v>44</v>
      </c>
    </row>
    <row r="24">
      <c r="A24" s="4">
        <f>IFERROR(__xludf.DUMMYFUNCTION("SPLIT(Raw!L49, "","")"),354.578754578754)</f>
        <v>354.5787546</v>
      </c>
      <c r="B24" s="4">
        <f>IFERROR(__xludf.DUMMYFUNCTION("""COMPUTED_VALUE"""),48.7704918032787)</f>
        <v>48.7704918</v>
      </c>
      <c r="D24" s="5">
        <v>348.4883720930234</v>
      </c>
      <c r="E24" s="5">
        <v>360.4651162790699</v>
      </c>
      <c r="F24" s="4">
        <f t="shared" si="1"/>
        <v>37</v>
      </c>
    </row>
    <row r="25">
      <c r="A25" s="4">
        <f>IFERROR(__xludf.DUMMYFUNCTION("SPLIT(Raw!L50, "","")"),366.300366300366)</f>
        <v>366.3003663</v>
      </c>
      <c r="B25" s="4">
        <f>IFERROR(__xludf.DUMMYFUNCTION("""COMPUTED_VALUE"""),41.3934426229508)</f>
        <v>41.39344262</v>
      </c>
      <c r="D25" s="5">
        <v>360.4651162790699</v>
      </c>
      <c r="E25" s="5">
        <v>372.4418604651164</v>
      </c>
      <c r="F25" s="4">
        <f t="shared" si="1"/>
        <v>33</v>
      </c>
    </row>
    <row r="26">
      <c r="A26" s="4">
        <f>IFERROR(__xludf.DUMMYFUNCTION("SPLIT(Raw!L51, "","")"),378.021978021978)</f>
        <v>378.021978</v>
      </c>
      <c r="B26" s="4">
        <f>IFERROR(__xludf.DUMMYFUNCTION("""COMPUTED_VALUE"""),34.0163934426229)</f>
        <v>34.01639344</v>
      </c>
      <c r="D26" s="5">
        <v>372.4418604651164</v>
      </c>
      <c r="E26" s="5">
        <v>384.4186046511629</v>
      </c>
      <c r="F26" s="4">
        <f t="shared" si="1"/>
        <v>30</v>
      </c>
    </row>
    <row r="27">
      <c r="A27" s="4">
        <f>IFERROR(__xludf.DUMMYFUNCTION("SPLIT(Raw!L52, "","")"),389.743589743589)</f>
        <v>389.7435897</v>
      </c>
      <c r="B27" s="4">
        <f>IFERROR(__xludf.DUMMYFUNCTION("""COMPUTED_VALUE"""),30.327868852459)</f>
        <v>30.32786885</v>
      </c>
      <c r="D27" s="5">
        <v>384.4186046511629</v>
      </c>
      <c r="E27" s="5">
        <v>396.39534883720944</v>
      </c>
      <c r="F27" s="4">
        <f t="shared" si="1"/>
        <v>30</v>
      </c>
    </row>
    <row r="28">
      <c r="A28" s="4">
        <f>IFERROR(__xludf.DUMMYFUNCTION("SPLIT(Raw!L53, "","")"),402.930402930402)</f>
        <v>402.9304029</v>
      </c>
      <c r="B28" s="4">
        <f>IFERROR(__xludf.DUMMYFUNCTION("""COMPUTED_VALUE"""),26.639344262295)</f>
        <v>26.63934426</v>
      </c>
      <c r="D28" s="5">
        <v>396.39534883720944</v>
      </c>
      <c r="E28" s="5">
        <v>408.37209302325596</v>
      </c>
      <c r="F28" s="4">
        <f t="shared" si="1"/>
        <v>26</v>
      </c>
    </row>
    <row r="29">
      <c r="A29" s="4">
        <f>IFERROR(__xludf.DUMMYFUNCTION("SPLIT(Raw!L54, "","")"),414.652014652014)</f>
        <v>414.6520147</v>
      </c>
      <c r="B29" s="4">
        <f>IFERROR(__xludf.DUMMYFUNCTION("""COMPUTED_VALUE"""),22.9508196721311)</f>
        <v>22.95081967</v>
      </c>
      <c r="D29" s="5">
        <v>408.37209302325596</v>
      </c>
      <c r="E29" s="5">
        <v>420.3488372093025</v>
      </c>
      <c r="F29" s="4">
        <f t="shared" si="1"/>
        <v>22</v>
      </c>
    </row>
    <row r="30">
      <c r="A30" s="4">
        <f>IFERROR(__xludf.DUMMYFUNCTION("SPLIT(Raw!L55, "","")"),425.641025641025)</f>
        <v>425.6410256</v>
      </c>
      <c r="B30" s="4">
        <f>IFERROR(__xludf.DUMMYFUNCTION("""COMPUTED_VALUE"""),0.819672131147541)</f>
        <v>0.8196721311</v>
      </c>
      <c r="D30" s="5">
        <v>420.3488372093025</v>
      </c>
      <c r="E30" s="5">
        <v>432.325581395349</v>
      </c>
      <c r="F30" s="4">
        <f t="shared" si="1"/>
        <v>0</v>
      </c>
    </row>
    <row r="31">
      <c r="A31" s="4">
        <f>IFERROR(__xludf.DUMMYFUNCTION("SPLIT(Raw!L56, "","")"),438.095238095238)</f>
        <v>438.0952381</v>
      </c>
      <c r="B31" s="4">
        <f>IFERROR(__xludf.DUMMYFUNCTION("""COMPUTED_VALUE"""),11.8852459016393)</f>
        <v>11.8852459</v>
      </c>
      <c r="D31" s="5">
        <v>432.325581395349</v>
      </c>
      <c r="E31" s="5">
        <v>444.3023255813955</v>
      </c>
      <c r="F31" s="4">
        <f t="shared" si="1"/>
        <v>0</v>
      </c>
    </row>
    <row r="32">
      <c r="A32" s="4">
        <f>IFERROR(__xludf.DUMMYFUNCTION("SPLIT(Raw!L57, "","")"),449.816849816849)</f>
        <v>449.8168498</v>
      </c>
      <c r="B32" s="4">
        <f>IFERROR(__xludf.DUMMYFUNCTION("""COMPUTED_VALUE"""),11.8852459016393)</f>
        <v>11.8852459</v>
      </c>
      <c r="D32" s="5">
        <v>444.3023255813955</v>
      </c>
      <c r="E32" s="5">
        <v>456.279069767442</v>
      </c>
      <c r="F32" s="4">
        <f t="shared" si="1"/>
        <v>0</v>
      </c>
    </row>
    <row r="33">
      <c r="A33" s="4">
        <f>IFERROR(__xludf.DUMMYFUNCTION("SPLIT(Raw!L58, "","")"),461.538461538461)</f>
        <v>461.5384615</v>
      </c>
      <c r="B33" s="4">
        <f>IFERROR(__xludf.DUMMYFUNCTION("""COMPUTED_VALUE"""),4.50819672131149)</f>
        <v>4.508196721</v>
      </c>
      <c r="D33" s="5">
        <v>456.279069767442</v>
      </c>
      <c r="E33" s="5">
        <v>468.25581395348854</v>
      </c>
      <c r="F33" s="4">
        <f t="shared" si="1"/>
        <v>0</v>
      </c>
    </row>
    <row r="34">
      <c r="A34" s="4">
        <f>IFERROR(__xludf.DUMMYFUNCTION("SPLIT(Raw!L59, "","")"),473.260073260073)</f>
        <v>473.2600733</v>
      </c>
      <c r="B34" s="4">
        <f>IFERROR(__xludf.DUMMYFUNCTION("""COMPUTED_VALUE"""),8.19672131147541)</f>
        <v>8.196721311</v>
      </c>
      <c r="D34" s="5">
        <v>468.25581395348854</v>
      </c>
      <c r="E34" s="5">
        <v>480.23255813953506</v>
      </c>
      <c r="F34" s="4">
        <f t="shared" si="1"/>
        <v>0</v>
      </c>
    </row>
    <row r="35">
      <c r="A35" s="4">
        <f>IFERROR(__xludf.DUMMYFUNCTION("SPLIT(Raw!L60, "","")"),484.249084249084)</f>
        <v>484.2490842</v>
      </c>
      <c r="B35" s="4">
        <f>IFERROR(__xludf.DUMMYFUNCTION("""COMPUTED_VALUE"""),8.19672131147541)</f>
        <v>8.196721311</v>
      </c>
      <c r="D35" s="5">
        <v>480.23255813953506</v>
      </c>
      <c r="E35" s="5">
        <v>492.2093023255816</v>
      </c>
      <c r="F35" s="4">
        <f t="shared" si="1"/>
        <v>0</v>
      </c>
    </row>
    <row r="36">
      <c r="A36" s="4">
        <f>IFERROR(__xludf.DUMMYFUNCTION("SPLIT(Raw!L61, "","")"),497.435897435897)</f>
        <v>497.4358974</v>
      </c>
      <c r="B36" s="4">
        <f>IFERROR(__xludf.DUMMYFUNCTION("""COMPUTED_VALUE"""),11.8852459016393)</f>
        <v>11.8852459</v>
      </c>
      <c r="D36" s="5">
        <v>492.2093023255816</v>
      </c>
      <c r="E36" s="5">
        <v>504.1860465116281</v>
      </c>
      <c r="F36" s="4">
        <f t="shared" si="1"/>
        <v>0</v>
      </c>
    </row>
    <row r="37">
      <c r="A37" s="4">
        <f>IFERROR(__xludf.DUMMYFUNCTION("SPLIT(Raw!L62, "","")"),509.890109890109)</f>
        <v>509.8901099</v>
      </c>
      <c r="B37" s="4">
        <f>IFERROR(__xludf.DUMMYFUNCTION("""COMPUTED_VALUE"""),8.19672131147541)</f>
        <v>8.196721311</v>
      </c>
      <c r="D37" s="5">
        <v>504.1860465116281</v>
      </c>
      <c r="E37" s="5">
        <v>516.1627906976746</v>
      </c>
      <c r="F37" s="4">
        <f t="shared" si="1"/>
        <v>0</v>
      </c>
    </row>
    <row r="38">
      <c r="A38" s="4">
        <f>IFERROR(__xludf.DUMMYFUNCTION("SPLIT(Raw!L63, "","")"),521.611721611721)</f>
        <v>521.6117216</v>
      </c>
      <c r="B38" s="4">
        <f>IFERROR(__xludf.DUMMYFUNCTION("""COMPUTED_VALUE"""),4.50819672131149)</f>
        <v>4.508196721</v>
      </c>
      <c r="D38" s="5">
        <v>516.1627906976746</v>
      </c>
      <c r="E38" s="5">
        <v>528.1395348837211</v>
      </c>
      <c r="F38" s="4">
        <f t="shared" si="1"/>
        <v>0</v>
      </c>
    </row>
    <row r="39">
      <c r="A39" s="4">
        <f>IFERROR(__xludf.DUMMYFUNCTION("SPLIT(Raw!L64, "","")"),534.065934065934)</f>
        <v>534.0659341</v>
      </c>
      <c r="B39" s="4">
        <f>IFERROR(__xludf.DUMMYFUNCTION("""COMPUTED_VALUE"""),4.50819672131149)</f>
        <v>4.508196721</v>
      </c>
      <c r="D39" s="5">
        <v>528.1395348837211</v>
      </c>
      <c r="E39" s="5">
        <v>540.1162790697676</v>
      </c>
      <c r="F39" s="4">
        <f t="shared" si="1"/>
        <v>0</v>
      </c>
    </row>
    <row r="40">
      <c r="A40" s="4">
        <f>IFERROR(__xludf.DUMMYFUNCTION("SPLIT(Raw!L65, "","")"),545.787545787545)</f>
        <v>545.7875458</v>
      </c>
      <c r="B40" s="4">
        <f>IFERROR(__xludf.DUMMYFUNCTION("""COMPUTED_VALUE"""),0.819672131147541)</f>
        <v>0.8196721311</v>
      </c>
      <c r="D40" s="5">
        <v>540.1162790697676</v>
      </c>
      <c r="E40" s="5">
        <v>552.0930232558142</v>
      </c>
      <c r="F40" s="4">
        <f t="shared" si="1"/>
        <v>0</v>
      </c>
    </row>
    <row r="41">
      <c r="A41" s="4">
        <f>IFERROR(__xludf.DUMMYFUNCTION("SPLIT(Raw!L66, "","")"),558.241758241758)</f>
        <v>558.2417582</v>
      </c>
      <c r="B41" s="4">
        <f>IFERROR(__xludf.DUMMYFUNCTION("""COMPUTED_VALUE"""),4.50819672131149)</f>
        <v>4.508196721</v>
      </c>
      <c r="D41" s="5">
        <v>552.0930232558142</v>
      </c>
      <c r="E41" s="5">
        <v>564.0697674418607</v>
      </c>
      <c r="F41" s="4">
        <f t="shared" si="1"/>
        <v>0</v>
      </c>
    </row>
    <row r="42">
      <c r="A42" s="4">
        <f>IFERROR(__xludf.DUMMYFUNCTION("SPLIT(Raw!L67, "","")"),567.032967032967)</f>
        <v>567.032967</v>
      </c>
      <c r="B42" s="4">
        <f>IFERROR(__xludf.DUMMYFUNCTION("""COMPUTED_VALUE"""),-2.86885245901638)</f>
        <v>-2.868852459</v>
      </c>
      <c r="D42" s="5">
        <v>564.0697674418607</v>
      </c>
      <c r="E42" s="5">
        <v>576.0465116279072</v>
      </c>
      <c r="F42" s="4">
        <f t="shared" si="1"/>
        <v>0</v>
      </c>
    </row>
    <row r="43">
      <c r="A43" s="4">
        <f>IFERROR(__xludf.DUMMYFUNCTION("SPLIT(Raw!L68, "","")"),577.289377289377)</f>
        <v>577.2893773</v>
      </c>
      <c r="B43" s="4">
        <f>IFERROR(__xludf.DUMMYFUNCTION("""COMPUTED_VALUE"""),0.819672131147541)</f>
        <v>0.8196721311</v>
      </c>
      <c r="D43" s="5">
        <v>576.0465116279072</v>
      </c>
      <c r="E43" s="5">
        <v>588.0232558139537</v>
      </c>
      <c r="F43" s="4">
        <f t="shared" si="1"/>
        <v>0</v>
      </c>
    </row>
    <row r="44">
      <c r="A44" s="4">
        <f>IFERROR(__xludf.DUMMYFUNCTION("SPLIT(Raw!L69, "","")"),593.406593406593)</f>
        <v>593.4065934</v>
      </c>
      <c r="B44" s="4">
        <f>IFERROR(__xludf.DUMMYFUNCTION("""COMPUTED_VALUE"""),85.655737704918)</f>
        <v>85.6557377</v>
      </c>
      <c r="D44" s="5">
        <v>588.0232558139537</v>
      </c>
      <c r="E44" s="5">
        <v>600.0000000000002</v>
      </c>
      <c r="F44" s="4">
        <f t="shared" si="1"/>
        <v>52</v>
      </c>
    </row>
    <row r="45">
      <c r="A45" s="4">
        <f>IFERROR(__xludf.DUMMYFUNCTION("SPLIT(Raw!L70, "","")"),90.8424908424908)</f>
        <v>90.84249084</v>
      </c>
      <c r="B45" s="4">
        <f>IFERROR(__xludf.DUMMYFUNCTION("""COMPUTED_VALUE"""),4.50819672131149)</f>
        <v>4.508196721</v>
      </c>
    </row>
    <row r="46">
      <c r="A46" s="4">
        <f>IFERROR(__xludf.DUMMYFUNCTION("SPLIT(Raw!L71, "","")"),102.564102564102)</f>
        <v>102.5641026</v>
      </c>
      <c r="B46" s="4">
        <f>IFERROR(__xludf.DUMMYFUNCTION("""COMPUTED_VALUE"""),63.5245901639344)</f>
        <v>63.52459016</v>
      </c>
    </row>
    <row r="47">
      <c r="A47" s="4">
        <f>IFERROR(__xludf.DUMMYFUNCTION("SPLIT(Raw!L72, "","")"),113.553113553113)</f>
        <v>113.5531136</v>
      </c>
      <c r="B47" s="4">
        <f>IFERROR(__xludf.DUMMYFUNCTION("""COMPUTED_VALUE"""),107.786885245901)</f>
        <v>107.7868852</v>
      </c>
    </row>
    <row r="48">
      <c r="A48" s="4">
        <f>IFERROR(__xludf.DUMMYFUNCTION("SPLIT(Raw!L73, "","")"),126.007326007326)</f>
        <v>126.007326</v>
      </c>
      <c r="B48" s="4">
        <f>IFERROR(__xludf.DUMMYFUNCTION("""COMPUTED_VALUE"""),129.918032786885)</f>
        <v>129.9180328</v>
      </c>
    </row>
    <row r="49">
      <c r="A49" s="4">
        <f>IFERROR(__xludf.DUMMYFUNCTION("SPLIT(Raw!L74, "","")"),137.728937728937)</f>
        <v>137.7289377</v>
      </c>
      <c r="B49" s="4">
        <f>IFERROR(__xludf.DUMMYFUNCTION("""COMPUTED_VALUE"""),133.606557377049)</f>
        <v>133.6065574</v>
      </c>
    </row>
    <row r="50">
      <c r="A50" s="4">
        <f>IFERROR(__xludf.DUMMYFUNCTION("SPLIT(Raw!L75, "","")"),149.450549450549)</f>
        <v>149.4505495</v>
      </c>
      <c r="B50" s="4">
        <f>IFERROR(__xludf.DUMMYFUNCTION("""COMPUTED_VALUE"""),126.229508196721)</f>
        <v>126.2295082</v>
      </c>
    </row>
    <row r="51">
      <c r="A51" s="4">
        <f>IFERROR(__xludf.DUMMYFUNCTION("SPLIT(Raw!L76, "","")"),161.904761904761)</f>
        <v>161.9047619</v>
      </c>
      <c r="B51" s="4">
        <f>IFERROR(__xludf.DUMMYFUNCTION("""COMPUTED_VALUE"""),126.229508196721)</f>
        <v>126.2295082</v>
      </c>
    </row>
    <row r="52">
      <c r="A52" s="4">
        <f>IFERROR(__xludf.DUMMYFUNCTION("SPLIT(Raw!L77, "","")"),174.358974358974)</f>
        <v>174.3589744</v>
      </c>
      <c r="B52" s="4">
        <f>IFERROR(__xludf.DUMMYFUNCTION("""COMPUTED_VALUE"""),104.098360655737)</f>
        <v>104.0983607</v>
      </c>
    </row>
    <row r="53">
      <c r="A53" s="4">
        <f>IFERROR(__xludf.DUMMYFUNCTION("SPLIT(Raw!L78, "","")"),185.347985347985)</f>
        <v>185.3479853</v>
      </c>
      <c r="B53" s="4">
        <f>IFERROR(__xludf.DUMMYFUNCTION("""COMPUTED_VALUE"""),96.7213114754098)</f>
        <v>96.72131148</v>
      </c>
    </row>
    <row r="54">
      <c r="A54" s="4">
        <f>IFERROR(__xludf.DUMMYFUNCTION("SPLIT(Raw!L79, "","")"),197.802197802197)</f>
        <v>197.8021978</v>
      </c>
      <c r="B54" s="4">
        <f>IFERROR(__xludf.DUMMYFUNCTION("""COMPUTED_VALUE"""),78.2786885245901)</f>
        <v>78.27868852</v>
      </c>
    </row>
    <row r="55">
      <c r="A55" s="4">
        <f>IFERROR(__xludf.DUMMYFUNCTION("SPLIT(Raw!L80, "","")"),208.791208791208)</f>
        <v>208.7912088</v>
      </c>
      <c r="B55" s="4">
        <f>IFERROR(__xludf.DUMMYFUNCTION("""COMPUTED_VALUE"""),59.8360655737705)</f>
        <v>59.83606557</v>
      </c>
    </row>
    <row r="56">
      <c r="A56" s="4">
        <f>IFERROR(__xludf.DUMMYFUNCTION("SPLIT(Raw!L81, "","")"),220.51282051282)</f>
        <v>220.5128205</v>
      </c>
      <c r="B56" s="4">
        <f>IFERROR(__xludf.DUMMYFUNCTION("""COMPUTED_VALUE"""),52.4590163934426)</f>
        <v>52.45901639</v>
      </c>
    </row>
    <row r="57">
      <c r="A57" s="4">
        <f>IFERROR(__xludf.DUMMYFUNCTION("SPLIT(Raw!L82, "","")"),232.967032967032)</f>
        <v>232.967033</v>
      </c>
      <c r="B57" s="4">
        <f>IFERROR(__xludf.DUMMYFUNCTION("""COMPUTED_VALUE"""),45.0819672131147)</f>
        <v>45.08196721</v>
      </c>
    </row>
    <row r="58">
      <c r="A58" s="4">
        <f>IFERROR(__xludf.DUMMYFUNCTION("SPLIT(Raw!L83, "","")"),246.153846153846)</f>
        <v>246.1538462</v>
      </c>
      <c r="B58" s="4">
        <f>IFERROR(__xludf.DUMMYFUNCTION("""COMPUTED_VALUE"""),37.7049180327868)</f>
        <v>37.70491803</v>
      </c>
    </row>
    <row r="59">
      <c r="A59" s="4">
        <f>IFERROR(__xludf.DUMMYFUNCTION("SPLIT(Raw!L84, "","")"),257.142857142857)</f>
        <v>257.1428571</v>
      </c>
      <c r="B59" s="4">
        <f>IFERROR(__xludf.DUMMYFUNCTION("""COMPUTED_VALUE"""),34.0163934426229)</f>
        <v>34.01639344</v>
      </c>
    </row>
    <row r="60">
      <c r="A60" s="4">
        <f>IFERROR(__xludf.DUMMYFUNCTION("SPLIT(Raw!L85, "","")"),268.131868131868)</f>
        <v>268.1318681</v>
      </c>
      <c r="B60" s="4">
        <f>IFERROR(__xludf.DUMMYFUNCTION("""COMPUTED_VALUE"""),26.639344262295)</f>
        <v>26.63934426</v>
      </c>
    </row>
    <row r="61">
      <c r="A61" s="4">
        <f>IFERROR(__xludf.DUMMYFUNCTION("SPLIT(Raw!L86, "","")"),281.318681318681)</f>
        <v>281.3186813</v>
      </c>
      <c r="B61" s="4">
        <f>IFERROR(__xludf.DUMMYFUNCTION("""COMPUTED_VALUE"""),22.9508196721311)</f>
        <v>22.95081967</v>
      </c>
    </row>
    <row r="62">
      <c r="A62" s="4">
        <f>IFERROR(__xludf.DUMMYFUNCTION("SPLIT(Raw!L87, "","")"),294.505494505494)</f>
        <v>294.5054945</v>
      </c>
      <c r="B62" s="4">
        <f>IFERROR(__xludf.DUMMYFUNCTION("""COMPUTED_VALUE"""),19.2622950819672)</f>
        <v>19.26229508</v>
      </c>
    </row>
    <row r="63">
      <c r="A63" s="4">
        <f>IFERROR(__xludf.DUMMYFUNCTION("SPLIT(Raw!L88, "","")"),305.494505494505)</f>
        <v>305.4945055</v>
      </c>
      <c r="B63" s="4">
        <f>IFERROR(__xludf.DUMMYFUNCTION("""COMPUTED_VALUE"""),15.5737704918032)</f>
        <v>15.57377049</v>
      </c>
    </row>
    <row r="64">
      <c r="A64" s="4">
        <f>IFERROR(__xludf.DUMMYFUNCTION("SPLIT(Raw!L89, "","")"),317.948717948717)</f>
        <v>317.9487179</v>
      </c>
      <c r="B64" s="4">
        <f>IFERROR(__xludf.DUMMYFUNCTION("""COMPUTED_VALUE"""),15.5737704918032)</f>
        <v>15.57377049</v>
      </c>
    </row>
    <row r="65">
      <c r="A65" s="4">
        <f>IFERROR(__xludf.DUMMYFUNCTION("SPLIT(Raw!L90, "","")"),329.670329670329)</f>
        <v>329.6703297</v>
      </c>
      <c r="B65" s="4">
        <f>IFERROR(__xludf.DUMMYFUNCTION("""COMPUTED_VALUE"""),15.5737704918032)</f>
        <v>15.57377049</v>
      </c>
    </row>
    <row r="66">
      <c r="A66" s="4">
        <f>IFERROR(__xludf.DUMMYFUNCTION("SPLIT(Raw!L91, "","")"),342.857142857142)</f>
        <v>342.8571429</v>
      </c>
      <c r="B66" s="4">
        <f>IFERROR(__xludf.DUMMYFUNCTION("""COMPUTED_VALUE"""),11.8852459016393)</f>
        <v>11.8852459</v>
      </c>
    </row>
    <row r="67">
      <c r="A67" s="4">
        <f>IFERROR(__xludf.DUMMYFUNCTION("SPLIT(Raw!L92, "","")"),355.311355311355)</f>
        <v>355.3113553</v>
      </c>
      <c r="B67" s="4">
        <f>IFERROR(__xludf.DUMMYFUNCTION("""COMPUTED_VALUE"""),11.8852459016393)</f>
        <v>11.8852459</v>
      </c>
    </row>
    <row r="68">
      <c r="A68" s="4">
        <f>IFERROR(__xludf.DUMMYFUNCTION("SPLIT(Raw!L93, "","")"),367.032967032967)</f>
        <v>367.032967</v>
      </c>
      <c r="B68" s="4">
        <f>IFERROR(__xludf.DUMMYFUNCTION("""COMPUTED_VALUE"""),8.19672131147541)</f>
        <v>8.196721311</v>
      </c>
    </row>
    <row r="69">
      <c r="A69" s="4">
        <f>IFERROR(__xludf.DUMMYFUNCTION("SPLIT(Raw!L94, "","")"),378.021978021978)</f>
        <v>378.021978</v>
      </c>
      <c r="B69" s="4">
        <f>IFERROR(__xludf.DUMMYFUNCTION("""COMPUTED_VALUE"""),4.50819672131149)</f>
        <v>4.508196721</v>
      </c>
    </row>
    <row r="70">
      <c r="A70" s="4">
        <f>IFERROR(__xludf.DUMMYFUNCTION("SPLIT(Raw!L95, "","")"),390.47619047619)</f>
        <v>390.4761905</v>
      </c>
      <c r="B70" s="4">
        <f>IFERROR(__xludf.DUMMYFUNCTION("""COMPUTED_VALUE"""),0.819672131147541)</f>
        <v>0.8196721311</v>
      </c>
    </row>
    <row r="71">
      <c r="A71" s="4">
        <f>IFERROR(__xludf.DUMMYFUNCTION("SPLIT(Raw!L96, "","")"),404.395604395604)</f>
        <v>404.3956044</v>
      </c>
      <c r="B71" s="4">
        <f>IFERROR(__xludf.DUMMYFUNCTION("""COMPUTED_VALUE"""),0.819672131147541)</f>
        <v>0.8196721311</v>
      </c>
    </row>
    <row r="72">
      <c r="A72" s="4">
        <f>IFERROR(__xludf.DUMMYFUNCTION("SPLIT(Raw!L97, "","")"),415.384615384615)</f>
        <v>415.3846154</v>
      </c>
      <c r="B72" s="4">
        <f>IFERROR(__xludf.DUMMYFUNCTION("""COMPUTED_VALUE"""),0.819672131147541)</f>
        <v>0.8196721311</v>
      </c>
    </row>
    <row r="73">
      <c r="A73" s="4">
        <f>IFERROR(__xludf.DUMMYFUNCTION("SPLIT(Raw!L98, "","")"),425.641025641025)</f>
        <v>425.6410256</v>
      </c>
      <c r="B73" s="4">
        <f>IFERROR(__xludf.DUMMYFUNCTION("""COMPUTED_VALUE"""),0.819672131147541)</f>
        <v>0.8196721311</v>
      </c>
    </row>
    <row r="74">
      <c r="A74" s="4">
        <f>IFERROR(__xludf.DUMMYFUNCTION("SPLIT(Raw!L99, "","")"),438.095238095238)</f>
        <v>438.0952381</v>
      </c>
      <c r="B74" s="4">
        <f>IFERROR(__xludf.DUMMYFUNCTION("""COMPUTED_VALUE"""),11.8852459016393)</f>
        <v>11.8852459</v>
      </c>
    </row>
    <row r="75">
      <c r="A75" s="4">
        <f>IFERROR(__xludf.DUMMYFUNCTION("SPLIT(Raw!L100, "","")"),449.816849816849)</f>
        <v>449.8168498</v>
      </c>
      <c r="B75" s="4">
        <f>IFERROR(__xludf.DUMMYFUNCTION("""COMPUTED_VALUE"""),11.8852459016393)</f>
        <v>11.8852459</v>
      </c>
    </row>
    <row r="76">
      <c r="A76" s="4">
        <f>IFERROR(__xludf.DUMMYFUNCTION("SPLIT(Raw!L101, "","")"),461.538461538461)</f>
        <v>461.5384615</v>
      </c>
      <c r="B76" s="4">
        <f>IFERROR(__xludf.DUMMYFUNCTION("""COMPUTED_VALUE"""),4.50819672131149)</f>
        <v>4.508196721</v>
      </c>
    </row>
    <row r="77">
      <c r="A77" s="4">
        <f>IFERROR(__xludf.DUMMYFUNCTION("SPLIT(Raw!L102, "","")"),473.260073260073)</f>
        <v>473.2600733</v>
      </c>
      <c r="B77" s="4">
        <f>IFERROR(__xludf.DUMMYFUNCTION("""COMPUTED_VALUE"""),8.19672131147541)</f>
        <v>8.196721311</v>
      </c>
    </row>
    <row r="78">
      <c r="A78" s="4">
        <f>IFERROR(__xludf.DUMMYFUNCTION("SPLIT(Raw!L103, "","")"),484.249084249084)</f>
        <v>484.2490842</v>
      </c>
      <c r="B78" s="4">
        <f>IFERROR(__xludf.DUMMYFUNCTION("""COMPUTED_VALUE"""),8.19672131147541)</f>
        <v>8.196721311</v>
      </c>
    </row>
    <row r="79">
      <c r="A79" s="4">
        <f>IFERROR(__xludf.DUMMYFUNCTION("SPLIT(Raw!L104, "","")"),497.435897435897)</f>
        <v>497.4358974</v>
      </c>
      <c r="B79" s="4">
        <f>IFERROR(__xludf.DUMMYFUNCTION("""COMPUTED_VALUE"""),11.8852459016393)</f>
        <v>11.8852459</v>
      </c>
    </row>
    <row r="80">
      <c r="A80" s="4">
        <f>IFERROR(__xludf.DUMMYFUNCTION("SPLIT(Raw!L105, "","")"),509.890109890109)</f>
        <v>509.8901099</v>
      </c>
      <c r="B80" s="4">
        <f>IFERROR(__xludf.DUMMYFUNCTION("""COMPUTED_VALUE"""),8.19672131147541)</f>
        <v>8.196721311</v>
      </c>
    </row>
    <row r="81">
      <c r="A81" s="4">
        <f>IFERROR(__xludf.DUMMYFUNCTION("SPLIT(Raw!L106, "","")"),521.611721611721)</f>
        <v>521.6117216</v>
      </c>
      <c r="B81" s="4">
        <f>IFERROR(__xludf.DUMMYFUNCTION("""COMPUTED_VALUE"""),4.50819672131149)</f>
        <v>4.508196721</v>
      </c>
    </row>
    <row r="82">
      <c r="A82" s="4">
        <f>IFERROR(__xludf.DUMMYFUNCTION("SPLIT(Raw!L107, "","")"),534.065934065934)</f>
        <v>534.0659341</v>
      </c>
      <c r="B82" s="4">
        <f>IFERROR(__xludf.DUMMYFUNCTION("""COMPUTED_VALUE"""),4.50819672131149)</f>
        <v>4.508196721</v>
      </c>
    </row>
    <row r="83">
      <c r="A83" s="4">
        <f>IFERROR(__xludf.DUMMYFUNCTION("SPLIT(Raw!L108, "","")"),545.787545787545)</f>
        <v>545.7875458</v>
      </c>
      <c r="B83" s="4">
        <f>IFERROR(__xludf.DUMMYFUNCTION("""COMPUTED_VALUE"""),0.819672131147541)</f>
        <v>0.8196721311</v>
      </c>
    </row>
    <row r="84">
      <c r="A84" s="4">
        <f>IFERROR(__xludf.DUMMYFUNCTION("SPLIT(Raw!L109, "","")"),558.241758241758)</f>
        <v>558.2417582</v>
      </c>
      <c r="B84" s="4">
        <f>IFERROR(__xludf.DUMMYFUNCTION("""COMPUTED_VALUE"""),4.50819672131149)</f>
        <v>4.508196721</v>
      </c>
    </row>
    <row r="85">
      <c r="A85" s="4">
        <f>IFERROR(__xludf.DUMMYFUNCTION("SPLIT(Raw!L110, "","")"),567.032967032967)</f>
        <v>567.032967</v>
      </c>
      <c r="B85" s="4">
        <f>IFERROR(__xludf.DUMMYFUNCTION("""COMPUTED_VALUE"""),-2.86885245901638)</f>
        <v>-2.868852459</v>
      </c>
    </row>
    <row r="86">
      <c r="A86" s="4">
        <f>IFERROR(__xludf.DUMMYFUNCTION("SPLIT(Raw!L111, "","")"),577.289377289377)</f>
        <v>577.2893773</v>
      </c>
      <c r="B86" s="4">
        <f>IFERROR(__xludf.DUMMYFUNCTION("""COMPUTED_VALUE"""),0.819672131147541)</f>
        <v>0.8196721311</v>
      </c>
    </row>
    <row r="87">
      <c r="A87" s="4">
        <f>IFERROR(__xludf.DUMMYFUNCTION("SPLIT(Raw!L112, "","")"),592.673992673992)</f>
        <v>592.6739927</v>
      </c>
      <c r="B87" s="4">
        <f>IFERROR(__xludf.DUMMYFUNCTION("""COMPUTED_VALUE"""),34.0163934426229)</f>
        <v>34.01639344</v>
      </c>
    </row>
  </sheetData>
  <mergeCells count="1">
    <mergeCell ref="D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553</v>
      </c>
      <c r="B1" s="1" t="s">
        <v>554</v>
      </c>
      <c r="D1" s="2" t="s">
        <v>556</v>
      </c>
      <c r="F1" s="3" t="s">
        <v>554</v>
      </c>
    </row>
    <row r="2">
      <c r="A2" s="4">
        <f>IFERROR(__xludf.DUMMYFUNCTION("SPLIT(Raw!L2, "","")"),281.746031746031)</f>
        <v>281.7460317</v>
      </c>
      <c r="B2" s="4">
        <f>IFERROR(__xludf.DUMMYFUNCTION("""COMPUTED_VALUE"""),83.6734693877551)</f>
        <v>83.67346939</v>
      </c>
      <c r="D2" s="1">
        <v>225.0</v>
      </c>
      <c r="E2" s="1">
        <v>345.0</v>
      </c>
      <c r="F2" s="4">
        <f t="shared" ref="F2:F12" si="1">round(B2-B13,0)</f>
        <v>67</v>
      </c>
    </row>
    <row r="3">
      <c r="A3" s="4">
        <f>IFERROR(__xludf.DUMMYFUNCTION("SPLIT(Raw!L3, "","")"),384.920634920634)</f>
        <v>384.9206349</v>
      </c>
      <c r="B3" s="4">
        <f>IFERROR(__xludf.DUMMYFUNCTION("""COMPUTED_VALUE"""),368.367346938775)</f>
        <v>368.3673469</v>
      </c>
      <c r="D3" s="1">
        <v>345.0</v>
      </c>
      <c r="E3" s="1">
        <v>425.0</v>
      </c>
      <c r="F3" s="4">
        <f t="shared" si="1"/>
        <v>331</v>
      </c>
    </row>
    <row r="4">
      <c r="A4" s="4">
        <f>IFERROR(__xludf.DUMMYFUNCTION("SPLIT(Raw!L4, "","")"),464.285714285714)</f>
        <v>464.2857143</v>
      </c>
      <c r="B4" s="4">
        <f>IFERROR(__xludf.DUMMYFUNCTION("""COMPUTED_VALUE"""),393.877551020408)</f>
        <v>393.877551</v>
      </c>
      <c r="D4" s="1">
        <v>425.0</v>
      </c>
      <c r="E4" s="1">
        <v>500.0</v>
      </c>
      <c r="F4" s="4">
        <f t="shared" si="1"/>
        <v>355</v>
      </c>
    </row>
    <row r="5">
      <c r="A5" s="4">
        <f>IFERROR(__xludf.DUMMYFUNCTION("SPLIT(Raw!L5, "","")"),547.619047619047)</f>
        <v>547.6190476</v>
      </c>
      <c r="B5" s="4">
        <f>IFERROR(__xludf.DUMMYFUNCTION("""COMPUTED_VALUE"""),289.795918367347)</f>
        <v>289.7959184</v>
      </c>
      <c r="D5" s="1">
        <v>500.0</v>
      </c>
      <c r="E5" s="1">
        <v>600.0</v>
      </c>
      <c r="F5" s="4">
        <f t="shared" si="1"/>
        <v>258</v>
      </c>
    </row>
    <row r="6">
      <c r="A6" s="4">
        <f>IFERROR(__xludf.DUMMYFUNCTION("SPLIT(Raw!L6, "","")"),642.857142857142)</f>
        <v>642.8571429</v>
      </c>
      <c r="B6" s="4">
        <f>IFERROR(__xludf.DUMMYFUNCTION("""COMPUTED_VALUE"""),184.69387755102)</f>
        <v>184.6938776</v>
      </c>
      <c r="D6" s="1">
        <v>600.0</v>
      </c>
      <c r="E6" s="1">
        <v>685.0</v>
      </c>
      <c r="F6" s="4">
        <f t="shared" si="1"/>
        <v>160</v>
      </c>
    </row>
    <row r="7">
      <c r="A7" s="4">
        <f>IFERROR(__xludf.DUMMYFUNCTION("SPLIT(Raw!L7, "","")"),742.063492063492)</f>
        <v>742.0634921</v>
      </c>
      <c r="B7" s="4">
        <f>IFERROR(__xludf.DUMMYFUNCTION("""COMPUTED_VALUE"""),109.183673469387)</f>
        <v>109.1836735</v>
      </c>
      <c r="D7" s="1">
        <v>685.0</v>
      </c>
      <c r="E7" s="1">
        <v>790.0</v>
      </c>
      <c r="F7" s="4">
        <f t="shared" si="1"/>
        <v>93</v>
      </c>
    </row>
    <row r="8">
      <c r="A8" s="4">
        <f>IFERROR(__xludf.DUMMYFUNCTION("SPLIT(Raw!L8, "","")"),853.174603174603)</f>
        <v>853.1746032</v>
      </c>
      <c r="B8" s="4">
        <f>IFERROR(__xludf.DUMMYFUNCTION("""COMPUTED_VALUE"""),62.2448979591836)</f>
        <v>62.24489796</v>
      </c>
      <c r="D8" s="1">
        <v>790.0</v>
      </c>
      <c r="E8" s="1">
        <v>900.0</v>
      </c>
      <c r="F8" s="4">
        <f t="shared" si="1"/>
        <v>51</v>
      </c>
    </row>
    <row r="9">
      <c r="A9" s="4">
        <f>IFERROR(__xludf.DUMMYFUNCTION("SPLIT(Raw!L9, "","")"),976.190476190476)</f>
        <v>976.1904762</v>
      </c>
      <c r="B9" s="4">
        <f>IFERROR(__xludf.DUMMYFUNCTION("""COMPUTED_VALUE"""),33.6734693877551)</f>
        <v>33.67346939</v>
      </c>
      <c r="D9" s="1">
        <v>900.0</v>
      </c>
      <c r="E9" s="1">
        <v>1050.0</v>
      </c>
      <c r="F9" s="4">
        <f t="shared" si="1"/>
        <v>27</v>
      </c>
    </row>
    <row r="10">
      <c r="A10" s="4">
        <f>IFERROR(__xludf.DUMMYFUNCTION("SPLIT(Raw!L10, "","")"),1111.11111111111)</f>
        <v>1111.111111</v>
      </c>
      <c r="B10" s="4">
        <f>IFERROR(__xludf.DUMMYFUNCTION("""COMPUTED_VALUE"""),18.3673469387755)</f>
        <v>18.36734694</v>
      </c>
      <c r="D10" s="1">
        <v>1050.0</v>
      </c>
      <c r="E10" s="1">
        <v>1175.0</v>
      </c>
      <c r="F10" s="4">
        <f t="shared" si="1"/>
        <v>13</v>
      </c>
    </row>
    <row r="11">
      <c r="A11" s="4">
        <f>IFERROR(__xludf.DUMMYFUNCTION("SPLIT(Raw!L11, "","")"),1250.0)</f>
        <v>1250</v>
      </c>
      <c r="B11" s="4">
        <f>IFERROR(__xludf.DUMMYFUNCTION("""COMPUTED_VALUE"""),10.204081632653)</f>
        <v>10.20408163</v>
      </c>
      <c r="D11" s="1">
        <v>1175.0</v>
      </c>
      <c r="E11" s="1">
        <v>1325.0</v>
      </c>
      <c r="F11" s="4">
        <f t="shared" si="1"/>
        <v>8</v>
      </c>
    </row>
    <row r="12">
      <c r="A12" s="4">
        <f>IFERROR(__xludf.DUMMYFUNCTION("SPLIT(Raw!L12, "","")"),2162.69841269841)</f>
        <v>2162.698413</v>
      </c>
      <c r="B12" s="4">
        <f>IFERROR(__xludf.DUMMYFUNCTION("""COMPUTED_VALUE"""),3.06122448979591)</f>
        <v>3.06122449</v>
      </c>
      <c r="D12" s="1">
        <v>1325.0</v>
      </c>
      <c r="E12" s="1">
        <v>3000.0</v>
      </c>
      <c r="F12" s="4">
        <f t="shared" si="1"/>
        <v>0</v>
      </c>
    </row>
    <row r="13">
      <c r="A13" s="4">
        <f>IFERROR(__xludf.DUMMYFUNCTION("SPLIT(Raw!L13, "","")"),289.682539682539)</f>
        <v>289.6825397</v>
      </c>
      <c r="B13" s="4">
        <f>IFERROR(__xludf.DUMMYFUNCTION("""COMPUTED_VALUE"""),16.3265306122448)</f>
        <v>16.32653061</v>
      </c>
    </row>
    <row r="14">
      <c r="A14" s="4">
        <f>IFERROR(__xludf.DUMMYFUNCTION("SPLIT(Raw!L14, "","")"),384.920634920634)</f>
        <v>384.9206349</v>
      </c>
      <c r="B14" s="4">
        <f>IFERROR(__xludf.DUMMYFUNCTION("""COMPUTED_VALUE"""),37.7551020408163)</f>
        <v>37.75510204</v>
      </c>
    </row>
    <row r="15">
      <c r="A15" s="4">
        <f>IFERROR(__xludf.DUMMYFUNCTION("SPLIT(Raw!L15, "","")"),456.349206349206)</f>
        <v>456.3492063</v>
      </c>
      <c r="B15" s="4">
        <f>IFERROR(__xludf.DUMMYFUNCTION("""COMPUTED_VALUE"""),38.7755102040816)</f>
        <v>38.7755102</v>
      </c>
    </row>
    <row r="16">
      <c r="A16" s="4">
        <f>IFERROR(__xludf.DUMMYFUNCTION("SPLIT(Raw!L16, "","")"),551.587301587301)</f>
        <v>551.5873016</v>
      </c>
      <c r="B16" s="4">
        <f>IFERROR(__xludf.DUMMYFUNCTION("""COMPUTED_VALUE"""),31.6326530612244)</f>
        <v>31.63265306</v>
      </c>
    </row>
    <row r="17">
      <c r="A17" s="4">
        <f>IFERROR(__xludf.DUMMYFUNCTION("SPLIT(Raw!L17, "","")"),638.888888888888)</f>
        <v>638.8888889</v>
      </c>
      <c r="B17" s="4">
        <f>IFERROR(__xludf.DUMMYFUNCTION("""COMPUTED_VALUE"""),24.4897959183673)</f>
        <v>24.48979592</v>
      </c>
    </row>
    <row r="18">
      <c r="A18" s="4">
        <f>IFERROR(__xludf.DUMMYFUNCTION("SPLIT(Raw!L18, "","")"),742.063492063492)</f>
        <v>742.0634921</v>
      </c>
      <c r="B18" s="4">
        <f>IFERROR(__xludf.DUMMYFUNCTION("""COMPUTED_VALUE"""),16.3265306122448)</f>
        <v>16.32653061</v>
      </c>
    </row>
    <row r="19">
      <c r="A19" s="4">
        <f>IFERROR(__xludf.DUMMYFUNCTION("SPLIT(Raw!L19, "","")"),857.142857142857)</f>
        <v>857.1428571</v>
      </c>
      <c r="B19" s="4">
        <f>IFERROR(__xludf.DUMMYFUNCTION("""COMPUTED_VALUE"""),11.2244897959183)</f>
        <v>11.2244898</v>
      </c>
    </row>
    <row r="20">
      <c r="A20" s="4">
        <f>IFERROR(__xludf.DUMMYFUNCTION("SPLIT(Raw!L20, "","")"),972.222222222222)</f>
        <v>972.2222222</v>
      </c>
      <c r="B20" s="4">
        <f>IFERROR(__xludf.DUMMYFUNCTION("""COMPUTED_VALUE"""),7.14285714285713)</f>
        <v>7.142857143</v>
      </c>
    </row>
    <row r="21">
      <c r="A21" s="4">
        <f>IFERROR(__xludf.DUMMYFUNCTION("SPLIT(Raw!L21, "","")"),1107.14285714285)</f>
        <v>1107.142857</v>
      </c>
      <c r="B21" s="4">
        <f>IFERROR(__xludf.DUMMYFUNCTION("""COMPUTED_VALUE"""),5.10204081632652)</f>
        <v>5.102040816</v>
      </c>
    </row>
    <row r="22">
      <c r="A22" s="4">
        <f>IFERROR(__xludf.DUMMYFUNCTION("SPLIT(Raw!L22, "","")"),1261.90476190476)</f>
        <v>1261.904762</v>
      </c>
      <c r="B22" s="4">
        <f>IFERROR(__xludf.DUMMYFUNCTION("""COMPUTED_VALUE"""),2.0408163265306)</f>
        <v>2.040816327</v>
      </c>
    </row>
    <row r="23">
      <c r="A23" s="4">
        <f>IFERROR(__xludf.DUMMYFUNCTION("SPLIT(Raw!L23, "","")"),2119.04761904761)</f>
        <v>2119.047619</v>
      </c>
      <c r="B23" s="4">
        <f>IFERROR(__xludf.DUMMYFUNCTION("""COMPUTED_VALUE"""),3.06122448979591)</f>
        <v>3.06122449</v>
      </c>
    </row>
  </sheetData>
  <mergeCells count="1">
    <mergeCell ref="D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557</v>
      </c>
      <c r="B1" s="3" t="s">
        <v>554</v>
      </c>
      <c r="D1" s="2" t="s">
        <v>558</v>
      </c>
      <c r="F1" s="3" t="s">
        <v>554</v>
      </c>
    </row>
    <row r="2">
      <c r="A2" s="4">
        <f>IFERROR(__xludf.DUMMYFUNCTION("SPLIT(Raw!A2, "","")"),1.50112359550561)</f>
        <v>1.501123596</v>
      </c>
      <c r="B2" s="4">
        <f>IFERROR(__xludf.DUMMYFUNCTION("""COMPUTED_VALUE"""),124303.797468354)</f>
        <v>124303.7975</v>
      </c>
      <c r="D2" s="1">
        <f>ROUND(A2, 2)</f>
        <v>1.5</v>
      </c>
      <c r="E2" s="1">
        <f>round(A3, 2)</f>
        <v>2.5</v>
      </c>
      <c r="F2" s="4">
        <f>round(AVERAGE(B2:B3) - 15957.8947368421,0)</f>
        <v>108346</v>
      </c>
    </row>
    <row r="3">
      <c r="A3" s="4">
        <f>IFERROR(__xludf.DUMMYFUNCTION("SPLIT(Raw!A3, "","")"),2.50337078651685)</f>
        <v>2.503370787</v>
      </c>
      <c r="B3" s="4">
        <f>IFERROR(__xludf.DUMMYFUNCTION("""COMPUTED_VALUE"""),124303.797468354)</f>
        <v>124303.7975</v>
      </c>
      <c r="D3" s="1">
        <f t="shared" ref="D3:D4" si="1">E2</f>
        <v>2.5</v>
      </c>
      <c r="E3" s="1">
        <f>ROUND(A5, 2)</f>
        <v>3.5</v>
      </c>
      <c r="F3" s="4">
        <f>round(AVERAGE(B4:B5)-1473.68421052631,0)</f>
        <v>15151</v>
      </c>
    </row>
    <row r="4">
      <c r="A4" s="4">
        <f>IFERROR(__xludf.DUMMYFUNCTION("SPLIT(Raw!A4, "","")"),2.50337078651685)</f>
        <v>2.503370787</v>
      </c>
      <c r="B4" s="4">
        <f>IFERROR(__xludf.DUMMYFUNCTION("""COMPUTED_VALUE"""),16624.4725738396)</f>
        <v>16624.47257</v>
      </c>
      <c r="D4" s="1">
        <f t="shared" si="1"/>
        <v>3.5</v>
      </c>
      <c r="E4" s="1">
        <f>ROUND(A7, 2)</f>
        <v>4.5</v>
      </c>
      <c r="F4" s="4">
        <f>round(AVERAGE(B6:B7),0)</f>
        <v>1435</v>
      </c>
    </row>
    <row r="5">
      <c r="A5" s="4">
        <f>IFERROR(__xludf.DUMMYFUNCTION("SPLIT(Raw!A5, "","")"),3.50112359550561)</f>
        <v>3.501123596</v>
      </c>
      <c r="B5" s="4">
        <f>IFERROR(__xludf.DUMMYFUNCTION("""COMPUTED_VALUE"""),16624.4725738396)</f>
        <v>16624.47257</v>
      </c>
    </row>
    <row r="6">
      <c r="A6" s="4">
        <f>IFERROR(__xludf.DUMMYFUNCTION("SPLIT(Raw!A6, "","")"),3.50561797752809)</f>
        <v>3.505617978</v>
      </c>
      <c r="B6" s="4">
        <f>IFERROR(__xludf.DUMMYFUNCTION("""COMPUTED_VALUE"""),1434.59915611814)</f>
        <v>1434.599156</v>
      </c>
    </row>
    <row r="7">
      <c r="A7" s="4">
        <f>IFERROR(__xludf.DUMMYFUNCTION("SPLIT(Raw!A7, "","")"),4.50337078651685)</f>
        <v>4.503370787</v>
      </c>
      <c r="B7" s="4">
        <f>IFERROR(__xludf.DUMMYFUNCTION("""COMPUTED_VALUE"""),1434.59915611814)</f>
        <v>1434.599156</v>
      </c>
    </row>
  </sheetData>
  <mergeCells count="1">
    <mergeCell ref="D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559</v>
      </c>
      <c r="B1" s="1" t="s">
        <v>554</v>
      </c>
      <c r="D1" s="6" t="s">
        <v>558</v>
      </c>
      <c r="F1" s="1" t="s">
        <v>554</v>
      </c>
    </row>
    <row r="2">
      <c r="A2" s="4">
        <f>IFERROR(__xludf.DUMMYFUNCTION("SPLIT(Raw!A10, "","")"),-2.45454545454545)</f>
        <v>-2.454545455</v>
      </c>
      <c r="B2" s="4">
        <f>IFERROR(__xludf.DUMMYFUNCTION("""COMPUTED_VALUE"""),6060.60606060606)</f>
        <v>6060.606061</v>
      </c>
      <c r="D2" s="1">
        <v>-2.5</v>
      </c>
      <c r="E2" s="1">
        <v>-2.4</v>
      </c>
      <c r="F2" s="4">
        <f t="shared" ref="F2:F51" si="1">round(B2-B52,0)</f>
        <v>4697</v>
      </c>
    </row>
    <row r="3">
      <c r="A3" s="4">
        <f>IFERROR(__xludf.DUMMYFUNCTION("SPLIT(Raw!A11, "","")"),-2.35064935064935)</f>
        <v>-2.350649351</v>
      </c>
      <c r="B3" s="4">
        <f>IFERROR(__xludf.DUMMYFUNCTION("""COMPUTED_VALUE"""),7727.27272727272)</f>
        <v>7727.272727</v>
      </c>
      <c r="D3" s="1">
        <v>-2.4</v>
      </c>
      <c r="E3" s="1">
        <v>-2.3</v>
      </c>
      <c r="F3" s="4">
        <f t="shared" si="1"/>
        <v>6061</v>
      </c>
    </row>
    <row r="4">
      <c r="A4" s="4">
        <f>IFERROR(__xludf.DUMMYFUNCTION("SPLIT(Raw!A12, "","")"),-2.24675324675324)</f>
        <v>-2.246753247</v>
      </c>
      <c r="B4" s="4">
        <f>IFERROR(__xludf.DUMMYFUNCTION("""COMPUTED_VALUE"""),9090.90909090909)</f>
        <v>9090.909091</v>
      </c>
      <c r="D4" s="1">
        <v>-2.3</v>
      </c>
      <c r="E4" s="1">
        <v>-2.2</v>
      </c>
      <c r="F4" s="4">
        <f t="shared" si="1"/>
        <v>7424</v>
      </c>
    </row>
    <row r="5">
      <c r="A5" s="4">
        <f>IFERROR(__xludf.DUMMYFUNCTION("SPLIT(Raw!A13, "","")"),-2.14935064935064)</f>
        <v>-2.149350649</v>
      </c>
      <c r="B5" s="4">
        <f>IFERROR(__xludf.DUMMYFUNCTION("""COMPUTED_VALUE"""),10303.0303030303)</f>
        <v>10303.0303</v>
      </c>
      <c r="D5" s="1">
        <v>-2.2</v>
      </c>
      <c r="E5" s="1">
        <v>-2.1</v>
      </c>
      <c r="F5" s="4">
        <f t="shared" si="1"/>
        <v>8636</v>
      </c>
    </row>
    <row r="6">
      <c r="A6" s="4">
        <f>IFERROR(__xludf.DUMMYFUNCTION("SPLIT(Raw!A14, "","")"),-2.05194805194805)</f>
        <v>-2.051948052</v>
      </c>
      <c r="B6" s="4">
        <f>IFERROR(__xludf.DUMMYFUNCTION("""COMPUTED_VALUE"""),12121.2121212121)</f>
        <v>12121.21212</v>
      </c>
      <c r="D6" s="1">
        <v>-2.1</v>
      </c>
      <c r="E6" s="1">
        <v>-2.0</v>
      </c>
      <c r="F6" s="4">
        <f t="shared" si="1"/>
        <v>10152</v>
      </c>
    </row>
    <row r="7">
      <c r="A7" s="4">
        <f>IFERROR(__xludf.DUMMYFUNCTION("SPLIT(Raw!A15, "","")"),-1.94805194805194)</f>
        <v>-1.948051948</v>
      </c>
      <c r="B7" s="4">
        <f>IFERROR(__xludf.DUMMYFUNCTION("""COMPUTED_VALUE"""),13636.3636363636)</f>
        <v>13636.36364</v>
      </c>
      <c r="D7" s="1">
        <v>-2.0</v>
      </c>
      <c r="E7" s="1">
        <v>-1.9</v>
      </c>
      <c r="F7" s="4">
        <f t="shared" si="1"/>
        <v>11970</v>
      </c>
    </row>
    <row r="8">
      <c r="A8" s="4">
        <f>IFERROR(__xludf.DUMMYFUNCTION("SPLIT(Raw!A16, "","")"),-1.85064935064935)</f>
        <v>-1.850649351</v>
      </c>
      <c r="B8" s="4">
        <f>IFERROR(__xludf.DUMMYFUNCTION("""COMPUTED_VALUE"""),15757.5757575757)</f>
        <v>15757.57576</v>
      </c>
      <c r="D8" s="1">
        <v>-1.9</v>
      </c>
      <c r="E8" s="1">
        <v>-1.8</v>
      </c>
      <c r="F8" s="4">
        <f t="shared" si="1"/>
        <v>13333</v>
      </c>
    </row>
    <row r="9">
      <c r="A9" s="4">
        <f>IFERROR(__xludf.DUMMYFUNCTION("SPLIT(Raw!A17, "","")"),-1.74675324675324)</f>
        <v>-1.746753247</v>
      </c>
      <c r="B9" s="4">
        <f>IFERROR(__xludf.DUMMYFUNCTION("""COMPUTED_VALUE"""),18333.3333333333)</f>
        <v>18333.33333</v>
      </c>
      <c r="D9" s="1">
        <v>-1.8</v>
      </c>
      <c r="E9" s="1">
        <v>-1.7</v>
      </c>
      <c r="F9" s="4">
        <f t="shared" si="1"/>
        <v>15455</v>
      </c>
    </row>
    <row r="10">
      <c r="A10" s="4">
        <f>IFERROR(__xludf.DUMMYFUNCTION("SPLIT(Raw!A18, "","")"),-1.65584415584415)</f>
        <v>-1.655844156</v>
      </c>
      <c r="B10" s="4">
        <f>IFERROR(__xludf.DUMMYFUNCTION("""COMPUTED_VALUE"""),19848.4848484848)</f>
        <v>19848.48485</v>
      </c>
      <c r="D10" s="1">
        <v>-1.7</v>
      </c>
      <c r="E10" s="1">
        <v>-1.6</v>
      </c>
      <c r="F10" s="4">
        <f t="shared" si="1"/>
        <v>16818</v>
      </c>
    </row>
    <row r="11">
      <c r="A11" s="4">
        <f>IFERROR(__xludf.DUMMYFUNCTION("SPLIT(Raw!A19, "","")"),-1.55194805194805)</f>
        <v>-1.551948052</v>
      </c>
      <c r="B11" s="4">
        <f>IFERROR(__xludf.DUMMYFUNCTION("""COMPUTED_VALUE"""),23030.303030303)</f>
        <v>23030.30303</v>
      </c>
      <c r="D11" s="1">
        <v>-1.6</v>
      </c>
      <c r="E11" s="1">
        <v>-1.5</v>
      </c>
      <c r="F11" s="4">
        <f t="shared" si="1"/>
        <v>19697</v>
      </c>
    </row>
    <row r="12">
      <c r="A12" s="4">
        <f>IFERROR(__xludf.DUMMYFUNCTION("SPLIT(Raw!A20, "","")"),-1.45454545454545)</f>
        <v>-1.454545455</v>
      </c>
      <c r="B12" s="4">
        <f>IFERROR(__xludf.DUMMYFUNCTION("""COMPUTED_VALUE"""),23636.3636363636)</f>
        <v>23636.36364</v>
      </c>
      <c r="D12" s="1">
        <v>-1.5</v>
      </c>
      <c r="E12" s="1">
        <v>-1.4</v>
      </c>
      <c r="F12" s="4">
        <f t="shared" si="1"/>
        <v>20455</v>
      </c>
    </row>
    <row r="13">
      <c r="A13" s="4">
        <f>IFERROR(__xludf.DUMMYFUNCTION("SPLIT(Raw!A21, "","")"),-1.35064935064935)</f>
        <v>-1.350649351</v>
      </c>
      <c r="B13" s="4">
        <f>IFERROR(__xludf.DUMMYFUNCTION("""COMPUTED_VALUE"""),27727.2727272727)</f>
        <v>27727.27273</v>
      </c>
      <c r="D13" s="1">
        <v>-1.4</v>
      </c>
      <c r="E13" s="1">
        <v>-1.3</v>
      </c>
      <c r="F13" s="4">
        <f t="shared" si="1"/>
        <v>23788</v>
      </c>
    </row>
    <row r="14">
      <c r="A14" s="4">
        <f>IFERROR(__xludf.DUMMYFUNCTION("SPLIT(Raw!A22, "","")"),-1.25324675324675)</f>
        <v>-1.253246753</v>
      </c>
      <c r="B14" s="4">
        <f>IFERROR(__xludf.DUMMYFUNCTION("""COMPUTED_VALUE"""),30757.5757575757)</f>
        <v>30757.57576</v>
      </c>
      <c r="D14" s="1">
        <v>-1.3</v>
      </c>
      <c r="E14" s="1">
        <v>-1.2</v>
      </c>
      <c r="F14" s="4">
        <f t="shared" si="1"/>
        <v>26667</v>
      </c>
    </row>
    <row r="15">
      <c r="A15" s="4">
        <f>IFERROR(__xludf.DUMMYFUNCTION("SPLIT(Raw!A23, "","")"),-1.14935064935064)</f>
        <v>-1.149350649</v>
      </c>
      <c r="B15" s="4">
        <f>IFERROR(__xludf.DUMMYFUNCTION("""COMPUTED_VALUE"""),32424.2424242424)</f>
        <v>32424.24242</v>
      </c>
      <c r="D15" s="1">
        <v>-1.2</v>
      </c>
      <c r="E15" s="1">
        <v>-1.1</v>
      </c>
      <c r="F15" s="4">
        <f t="shared" si="1"/>
        <v>28182</v>
      </c>
    </row>
    <row r="16">
      <c r="A16" s="4">
        <f>IFERROR(__xludf.DUMMYFUNCTION("SPLIT(Raw!A24, "","")"),-1.05194805194805)</f>
        <v>-1.051948052</v>
      </c>
      <c r="B16" s="4">
        <f>IFERROR(__xludf.DUMMYFUNCTION("""COMPUTED_VALUE"""),34393.9393939393)</f>
        <v>34393.93939</v>
      </c>
      <c r="D16" s="1">
        <v>-1.1</v>
      </c>
      <c r="E16" s="1">
        <v>-1.0</v>
      </c>
      <c r="F16" s="4">
        <f t="shared" si="1"/>
        <v>30606</v>
      </c>
    </row>
    <row r="17">
      <c r="A17" s="4">
        <f>IFERROR(__xludf.DUMMYFUNCTION("SPLIT(Raw!A25, "","")"),-0.954545454545454)</f>
        <v>-0.9545454545</v>
      </c>
      <c r="B17" s="4">
        <f>IFERROR(__xludf.DUMMYFUNCTION("""COMPUTED_VALUE"""),35454.5454545454)</f>
        <v>35454.54545</v>
      </c>
      <c r="D17" s="1">
        <v>-1.0</v>
      </c>
      <c r="E17" s="1">
        <v>-0.900000000000004</v>
      </c>
      <c r="F17" s="4">
        <f t="shared" si="1"/>
        <v>31212</v>
      </c>
    </row>
    <row r="18">
      <c r="A18" s="4">
        <f>IFERROR(__xludf.DUMMYFUNCTION("SPLIT(Raw!A26, "","")"),-0.85064935064935)</f>
        <v>-0.8506493506</v>
      </c>
      <c r="B18" s="4">
        <f>IFERROR(__xludf.DUMMYFUNCTION("""COMPUTED_VALUE"""),37878.7878787878)</f>
        <v>37878.78788</v>
      </c>
      <c r="D18" s="1">
        <v>-0.9</v>
      </c>
      <c r="E18" s="1">
        <v>-0.800000000000005</v>
      </c>
      <c r="F18" s="4">
        <f t="shared" si="1"/>
        <v>33485</v>
      </c>
    </row>
    <row r="19">
      <c r="A19" s="4">
        <f>IFERROR(__xludf.DUMMYFUNCTION("SPLIT(Raw!A27, "","")"),-0.753246753246753)</f>
        <v>-0.7532467532</v>
      </c>
      <c r="B19" s="4">
        <f>IFERROR(__xludf.DUMMYFUNCTION("""COMPUTED_VALUE"""),39242.4242424242)</f>
        <v>39242.42424</v>
      </c>
      <c r="D19" s="1">
        <v>-0.8</v>
      </c>
      <c r="E19" s="1">
        <v>-0.700000000000005</v>
      </c>
      <c r="F19" s="4">
        <f t="shared" si="1"/>
        <v>34697</v>
      </c>
    </row>
    <row r="20">
      <c r="A20" s="4">
        <f>IFERROR(__xludf.DUMMYFUNCTION("SPLIT(Raw!A28, "","")"),-0.655844155844155)</f>
        <v>-0.6558441558</v>
      </c>
      <c r="B20" s="4">
        <f>IFERROR(__xludf.DUMMYFUNCTION("""COMPUTED_VALUE"""),41515.1515151515)</f>
        <v>41515.15152</v>
      </c>
      <c r="D20" s="1">
        <v>-0.7</v>
      </c>
      <c r="E20" s="1">
        <v>-0.600000000000005</v>
      </c>
      <c r="F20" s="4">
        <f t="shared" si="1"/>
        <v>36818</v>
      </c>
    </row>
    <row r="21">
      <c r="A21" s="4">
        <f>IFERROR(__xludf.DUMMYFUNCTION("SPLIT(Raw!A29, "","")"),-0.551948051948051)</f>
        <v>-0.5519480519</v>
      </c>
      <c r="B21" s="4">
        <f>IFERROR(__xludf.DUMMYFUNCTION("""COMPUTED_VALUE"""),42575.7575757575)</f>
        <v>42575.75758</v>
      </c>
      <c r="D21" s="1">
        <v>-0.6</v>
      </c>
      <c r="E21" s="1">
        <v>-0.500000000000006</v>
      </c>
      <c r="F21" s="4">
        <f t="shared" si="1"/>
        <v>37727</v>
      </c>
    </row>
    <row r="22">
      <c r="A22" s="4">
        <f>IFERROR(__xludf.DUMMYFUNCTION("SPLIT(Raw!A30, "","")"),-0.454545454545454)</f>
        <v>-0.4545454545</v>
      </c>
      <c r="B22" s="4">
        <f>IFERROR(__xludf.DUMMYFUNCTION("""COMPUTED_VALUE"""),43484.8484848484)</f>
        <v>43484.84848</v>
      </c>
      <c r="D22" s="1">
        <v>-0.5</v>
      </c>
      <c r="E22" s="1">
        <v>-0.400000000000006</v>
      </c>
      <c r="F22" s="4">
        <f t="shared" si="1"/>
        <v>38636</v>
      </c>
    </row>
    <row r="23">
      <c r="A23" s="4">
        <f>IFERROR(__xludf.DUMMYFUNCTION("SPLIT(Raw!A31, "","")"),-0.35064935064935)</f>
        <v>-0.3506493506</v>
      </c>
      <c r="B23" s="4">
        <f>IFERROR(__xludf.DUMMYFUNCTION("""COMPUTED_VALUE"""),44242.4242424242)</f>
        <v>44242.42424</v>
      </c>
      <c r="D23" s="1">
        <v>-0.4</v>
      </c>
      <c r="E23" s="1">
        <v>-0.300000000000006</v>
      </c>
      <c r="F23" s="4">
        <f t="shared" si="1"/>
        <v>39242</v>
      </c>
    </row>
    <row r="24">
      <c r="A24" s="4">
        <f>IFERROR(__xludf.DUMMYFUNCTION("SPLIT(Raw!A32, "","")"),-0.253246753246753)</f>
        <v>-0.2532467532</v>
      </c>
      <c r="B24" s="4">
        <f>IFERROR(__xludf.DUMMYFUNCTION("""COMPUTED_VALUE"""),45454.5454545454)</f>
        <v>45454.54545</v>
      </c>
      <c r="D24" s="1">
        <v>-0.3</v>
      </c>
      <c r="E24" s="1">
        <v>-0.200000000000006</v>
      </c>
      <c r="F24" s="4">
        <f t="shared" si="1"/>
        <v>40303</v>
      </c>
    </row>
    <row r="25">
      <c r="A25" s="4">
        <f>IFERROR(__xludf.DUMMYFUNCTION("SPLIT(Raw!A33, "","")"),-0.149350649350649)</f>
        <v>-0.1493506494</v>
      </c>
      <c r="B25" s="4">
        <f>IFERROR(__xludf.DUMMYFUNCTION("""COMPUTED_VALUE"""),45909.0909090909)</f>
        <v>45909.09091</v>
      </c>
      <c r="D25" s="1">
        <v>-0.2</v>
      </c>
      <c r="E25" s="1">
        <v>-0.100000000000007</v>
      </c>
      <c r="F25" s="4">
        <f t="shared" si="1"/>
        <v>40606</v>
      </c>
    </row>
    <row r="26">
      <c r="A26" s="4">
        <f>IFERROR(__xludf.DUMMYFUNCTION("SPLIT(Raw!A34, "","")"),-0.0519480519480517)</f>
        <v>-0.05194805195</v>
      </c>
      <c r="B26" s="4">
        <f>IFERROR(__xludf.DUMMYFUNCTION("""COMPUTED_VALUE"""),46363.6363636363)</f>
        <v>46363.63636</v>
      </c>
      <c r="D26" s="1">
        <v>-0.0999999999999996</v>
      </c>
      <c r="E26" s="1">
        <v>-7.105427357601E-15</v>
      </c>
      <c r="F26" s="4">
        <f t="shared" si="1"/>
        <v>40909</v>
      </c>
    </row>
    <row r="27">
      <c r="A27" s="4">
        <f>IFERROR(__xludf.DUMMYFUNCTION("SPLIT(Raw!A35, "","")"),0.0454545454545454)</f>
        <v>0.04545454545</v>
      </c>
      <c r="B27" s="4">
        <f>IFERROR(__xludf.DUMMYFUNCTION("""COMPUTED_VALUE"""),45606.0606060606)</f>
        <v>45606.06061</v>
      </c>
      <c r="D27" s="1">
        <v>0.0</v>
      </c>
      <c r="E27" s="1">
        <v>0.0999999999999925</v>
      </c>
      <c r="F27" s="4">
        <f t="shared" si="1"/>
        <v>41061</v>
      </c>
    </row>
    <row r="28">
      <c r="A28" s="4">
        <f>IFERROR(__xludf.DUMMYFUNCTION("SPLIT(Raw!A36, "","")"),0.149350649350649)</f>
        <v>0.1493506494</v>
      </c>
      <c r="B28" s="4">
        <f>IFERROR(__xludf.DUMMYFUNCTION("""COMPUTED_VALUE"""),45909.0909090909)</f>
        <v>45909.09091</v>
      </c>
      <c r="D28" s="1">
        <v>0.1</v>
      </c>
      <c r="E28" s="1">
        <v>0.199999999999992</v>
      </c>
      <c r="F28" s="4">
        <f t="shared" si="1"/>
        <v>40758</v>
      </c>
    </row>
    <row r="29">
      <c r="A29" s="4">
        <f>IFERROR(__xludf.DUMMYFUNCTION("SPLIT(Raw!A37, "","")"),0.246753246753246)</f>
        <v>0.2467532468</v>
      </c>
      <c r="B29" s="4">
        <f>IFERROR(__xludf.DUMMYFUNCTION("""COMPUTED_VALUE"""),45454.5454545454)</f>
        <v>45454.54545</v>
      </c>
      <c r="D29" s="1">
        <v>0.2</v>
      </c>
      <c r="E29" s="1">
        <v>0.299999999999992</v>
      </c>
      <c r="F29" s="4">
        <f t="shared" si="1"/>
        <v>40455</v>
      </c>
    </row>
    <row r="30">
      <c r="A30" s="4">
        <f>IFERROR(__xludf.DUMMYFUNCTION("SPLIT(Raw!A38, "","")"),0.35064935064935)</f>
        <v>0.3506493506</v>
      </c>
      <c r="B30" s="4">
        <f>IFERROR(__xludf.DUMMYFUNCTION("""COMPUTED_VALUE"""),44090.909090909)</f>
        <v>44090.90909</v>
      </c>
      <c r="D30" s="1">
        <v>0.3</v>
      </c>
      <c r="E30" s="1">
        <v>0.399999999999992</v>
      </c>
      <c r="F30" s="4">
        <f t="shared" si="1"/>
        <v>39394</v>
      </c>
    </row>
    <row r="31">
      <c r="A31" s="4">
        <f>IFERROR(__xludf.DUMMYFUNCTION("SPLIT(Raw!A39, "","")"),0.448051948051948)</f>
        <v>0.4480519481</v>
      </c>
      <c r="B31" s="4">
        <f>IFERROR(__xludf.DUMMYFUNCTION("""COMPUTED_VALUE"""),43484.8484848484)</f>
        <v>43484.84848</v>
      </c>
      <c r="D31" s="1">
        <v>0.4</v>
      </c>
      <c r="E31" s="1">
        <v>0.499999999999992</v>
      </c>
      <c r="F31" s="4">
        <f t="shared" si="1"/>
        <v>38636</v>
      </c>
    </row>
    <row r="32">
      <c r="A32" s="4">
        <f>IFERROR(__xludf.DUMMYFUNCTION("SPLIT(Raw!A40, "","")"),0.545454545454545)</f>
        <v>0.5454545455</v>
      </c>
      <c r="B32" s="4">
        <f>IFERROR(__xludf.DUMMYFUNCTION("""COMPUTED_VALUE"""),43030.303030303)</f>
        <v>43030.30303</v>
      </c>
      <c r="D32" s="1">
        <v>0.5</v>
      </c>
      <c r="E32" s="1">
        <v>0.599999999999991</v>
      </c>
      <c r="F32" s="4">
        <f t="shared" si="1"/>
        <v>38030</v>
      </c>
    </row>
    <row r="33">
      <c r="A33" s="4">
        <f>IFERROR(__xludf.DUMMYFUNCTION("SPLIT(Raw!A41, "","")"),0.649350649350649)</f>
        <v>0.6493506494</v>
      </c>
      <c r="B33" s="4">
        <f>IFERROR(__xludf.DUMMYFUNCTION("""COMPUTED_VALUE"""),41515.1515151515)</f>
        <v>41515.15152</v>
      </c>
      <c r="D33" s="1">
        <v>0.6</v>
      </c>
      <c r="E33" s="1">
        <v>0.699999999999991</v>
      </c>
      <c r="F33" s="4">
        <f t="shared" si="1"/>
        <v>36515</v>
      </c>
    </row>
    <row r="34">
      <c r="A34" s="4">
        <f>IFERROR(__xludf.DUMMYFUNCTION("SPLIT(Raw!A42, "","")"),0.746753246753246)</f>
        <v>0.7467532468</v>
      </c>
      <c r="B34" s="4">
        <f>IFERROR(__xludf.DUMMYFUNCTION("""COMPUTED_VALUE"""),39545.4545454545)</f>
        <v>39545.45455</v>
      </c>
      <c r="D34" s="1">
        <v>0.7</v>
      </c>
      <c r="E34" s="1">
        <v>0.799999999999991</v>
      </c>
      <c r="F34" s="4">
        <f t="shared" si="1"/>
        <v>35303</v>
      </c>
    </row>
    <row r="35">
      <c r="A35" s="4">
        <f>IFERROR(__xludf.DUMMYFUNCTION("SPLIT(Raw!A43, "","")"),0.85064935064935)</f>
        <v>0.8506493506</v>
      </c>
      <c r="B35" s="4">
        <f>IFERROR(__xludf.DUMMYFUNCTION("""COMPUTED_VALUE"""),38333.3333333333)</f>
        <v>38333.33333</v>
      </c>
      <c r="D35" s="1">
        <v>0.8</v>
      </c>
      <c r="E35" s="1">
        <v>0.89999999999999</v>
      </c>
      <c r="F35" s="4">
        <f t="shared" si="1"/>
        <v>33636</v>
      </c>
    </row>
    <row r="36">
      <c r="A36" s="4">
        <f>IFERROR(__xludf.DUMMYFUNCTION("SPLIT(Raw!A44, "","")"),0.948051948051948)</f>
        <v>0.9480519481</v>
      </c>
      <c r="B36" s="4">
        <f>IFERROR(__xludf.DUMMYFUNCTION("""COMPUTED_VALUE"""),35909.0909090909)</f>
        <v>35909.09091</v>
      </c>
      <c r="D36" s="1">
        <v>0.9</v>
      </c>
      <c r="E36" s="1">
        <v>0.99999999999999</v>
      </c>
      <c r="F36" s="4">
        <f t="shared" si="1"/>
        <v>31212</v>
      </c>
    </row>
    <row r="37">
      <c r="A37" s="4">
        <f>IFERROR(__xludf.DUMMYFUNCTION("SPLIT(Raw!A45, "","")"),1.05194805194805)</f>
        <v>1.051948052</v>
      </c>
      <c r="B37" s="4">
        <f>IFERROR(__xludf.DUMMYFUNCTION("""COMPUTED_VALUE"""),34545.4545454545)</f>
        <v>34545.45455</v>
      </c>
      <c r="D37" s="1">
        <v>1.0</v>
      </c>
      <c r="E37" s="1">
        <v>1.09999999999999</v>
      </c>
      <c r="F37" s="4">
        <f t="shared" si="1"/>
        <v>30606</v>
      </c>
    </row>
    <row r="38">
      <c r="A38" s="4">
        <f>IFERROR(__xludf.DUMMYFUNCTION("SPLIT(Raw!A46, "","")"),1.14935064935064)</f>
        <v>1.149350649</v>
      </c>
      <c r="B38" s="4">
        <f>IFERROR(__xludf.DUMMYFUNCTION("""COMPUTED_VALUE"""),32424.2424242424)</f>
        <v>32424.24242</v>
      </c>
      <c r="D38" s="1">
        <v>1.1</v>
      </c>
      <c r="E38" s="1">
        <v>1.19999999999999</v>
      </c>
      <c r="F38" s="4">
        <f t="shared" si="1"/>
        <v>28333</v>
      </c>
    </row>
    <row r="39">
      <c r="A39" s="4">
        <f>IFERROR(__xludf.DUMMYFUNCTION("SPLIT(Raw!A47, "","")"),1.25324675324675)</f>
        <v>1.253246753</v>
      </c>
      <c r="B39" s="4">
        <f>IFERROR(__xludf.DUMMYFUNCTION("""COMPUTED_VALUE"""),30454.5454545454)</f>
        <v>30454.54545</v>
      </c>
      <c r="D39" s="1">
        <v>1.2</v>
      </c>
      <c r="E39" s="1">
        <v>1.29999999999999</v>
      </c>
      <c r="F39" s="4">
        <f t="shared" si="1"/>
        <v>26667</v>
      </c>
    </row>
    <row r="40">
      <c r="A40" s="4">
        <f>IFERROR(__xludf.DUMMYFUNCTION("SPLIT(Raw!A48, "","")"),1.34415584415584)</f>
        <v>1.344155844</v>
      </c>
      <c r="B40" s="4">
        <f>IFERROR(__xludf.DUMMYFUNCTION("""COMPUTED_VALUE"""),27575.7575757575)</f>
        <v>27575.75758</v>
      </c>
      <c r="D40" s="1">
        <v>1.3</v>
      </c>
      <c r="E40" s="1">
        <v>1.39999999999999</v>
      </c>
      <c r="F40" s="4">
        <f t="shared" si="1"/>
        <v>23939</v>
      </c>
    </row>
    <row r="41">
      <c r="A41" s="4">
        <f>IFERROR(__xludf.DUMMYFUNCTION("SPLIT(Raw!A49, "","")"),1.44805194805194)</f>
        <v>1.448051948</v>
      </c>
      <c r="B41" s="4">
        <f>IFERROR(__xludf.DUMMYFUNCTION("""COMPUTED_VALUE"""),23939.3939393939)</f>
        <v>23939.39394</v>
      </c>
      <c r="D41" s="1">
        <v>1.4</v>
      </c>
      <c r="E41" s="1">
        <v>1.49999999999999</v>
      </c>
      <c r="F41" s="4">
        <f t="shared" si="1"/>
        <v>20455</v>
      </c>
    </row>
    <row r="42">
      <c r="A42" s="4">
        <f>IFERROR(__xludf.DUMMYFUNCTION("SPLIT(Raw!A50, "","")"),1.54545454545454)</f>
        <v>1.545454545</v>
      </c>
      <c r="B42" s="4">
        <f>IFERROR(__xludf.DUMMYFUNCTION("""COMPUTED_VALUE"""),23333.3333333333)</f>
        <v>23333.33333</v>
      </c>
      <c r="D42" s="1">
        <v>1.5</v>
      </c>
      <c r="E42" s="1">
        <v>1.59999999999999</v>
      </c>
      <c r="F42" s="4">
        <f t="shared" si="1"/>
        <v>19848</v>
      </c>
    </row>
    <row r="43">
      <c r="A43" s="4">
        <f>IFERROR(__xludf.DUMMYFUNCTION("SPLIT(Raw!A51, "","")"),1.64935064935064)</f>
        <v>1.649350649</v>
      </c>
      <c r="B43" s="4">
        <f>IFERROR(__xludf.DUMMYFUNCTION("""COMPUTED_VALUE"""),19696.9696969696)</f>
        <v>19696.9697</v>
      </c>
      <c r="D43" s="1">
        <v>1.6</v>
      </c>
      <c r="E43" s="1">
        <v>1.69999999999999</v>
      </c>
      <c r="F43" s="4">
        <f t="shared" si="1"/>
        <v>16970</v>
      </c>
    </row>
    <row r="44">
      <c r="A44" s="4">
        <f>IFERROR(__xludf.DUMMYFUNCTION("SPLIT(Raw!A52, "","")"),1.75324675324675)</f>
        <v>1.753246753</v>
      </c>
      <c r="B44" s="4">
        <f>IFERROR(__xludf.DUMMYFUNCTION("""COMPUTED_VALUE"""),17575.7575757575)</f>
        <v>17575.75758</v>
      </c>
      <c r="D44" s="1">
        <v>1.7</v>
      </c>
      <c r="E44" s="1">
        <v>1.79999999999999</v>
      </c>
      <c r="F44" s="4">
        <f t="shared" si="1"/>
        <v>15303</v>
      </c>
    </row>
    <row r="45">
      <c r="A45" s="4">
        <f>IFERROR(__xludf.DUMMYFUNCTION("SPLIT(Raw!A53, "","")"),1.85064935064935)</f>
        <v>1.850649351</v>
      </c>
      <c r="B45" s="4">
        <f>IFERROR(__xludf.DUMMYFUNCTION("""COMPUTED_VALUE"""),15454.5454545454)</f>
        <v>15454.54545</v>
      </c>
      <c r="D45" s="1">
        <v>1.8</v>
      </c>
      <c r="E45" s="1">
        <v>1.89999999999999</v>
      </c>
      <c r="F45" s="4">
        <f t="shared" si="1"/>
        <v>13182</v>
      </c>
    </row>
    <row r="46">
      <c r="A46" s="4">
        <f>IFERROR(__xludf.DUMMYFUNCTION("SPLIT(Raw!A54, "","")"),1.94805194805194)</f>
        <v>1.948051948</v>
      </c>
      <c r="B46" s="4">
        <f>IFERROR(__xludf.DUMMYFUNCTION("""COMPUTED_VALUE"""),13333.3333333333)</f>
        <v>13333.33333</v>
      </c>
      <c r="D46" s="1">
        <v>1.9</v>
      </c>
      <c r="E46" s="1">
        <v>1.99999999999999</v>
      </c>
      <c r="F46" s="4">
        <f t="shared" si="1"/>
        <v>11515</v>
      </c>
    </row>
    <row r="47">
      <c r="A47" s="4">
        <f>IFERROR(__xludf.DUMMYFUNCTION("SPLIT(Raw!A55, "","")"),2.04545454545454)</f>
        <v>2.045454545</v>
      </c>
      <c r="B47" s="4">
        <f>IFERROR(__xludf.DUMMYFUNCTION("""COMPUTED_VALUE"""),11666.6666666666)</f>
        <v>11666.66667</v>
      </c>
      <c r="D47" s="1">
        <v>2.0</v>
      </c>
      <c r="E47" s="1">
        <v>2.09999999999999</v>
      </c>
      <c r="F47" s="4">
        <f t="shared" si="1"/>
        <v>9848</v>
      </c>
    </row>
    <row r="48">
      <c r="A48" s="4">
        <f>IFERROR(__xludf.DUMMYFUNCTION("SPLIT(Raw!A56, "","")"),2.14935064935065)</f>
        <v>2.149350649</v>
      </c>
      <c r="B48" s="4">
        <f>IFERROR(__xludf.DUMMYFUNCTION("""COMPUTED_VALUE"""),10303.0303030303)</f>
        <v>10303.0303</v>
      </c>
      <c r="D48" s="1">
        <v>2.1</v>
      </c>
      <c r="E48" s="1">
        <v>2.19999999999999</v>
      </c>
      <c r="F48" s="4">
        <f t="shared" si="1"/>
        <v>8636</v>
      </c>
    </row>
    <row r="49">
      <c r="A49" s="4">
        <f>IFERROR(__xludf.DUMMYFUNCTION("SPLIT(Raw!A57, "","")"),2.25324675324675)</f>
        <v>2.253246753</v>
      </c>
      <c r="B49" s="4">
        <f>IFERROR(__xludf.DUMMYFUNCTION("""COMPUTED_VALUE"""),9090.90909090909)</f>
        <v>9090.909091</v>
      </c>
      <c r="D49" s="1">
        <v>2.2</v>
      </c>
      <c r="E49" s="1">
        <v>2.29999999999999</v>
      </c>
      <c r="F49" s="4">
        <f t="shared" si="1"/>
        <v>7576</v>
      </c>
    </row>
    <row r="50">
      <c r="A50" s="4">
        <f>IFERROR(__xludf.DUMMYFUNCTION("SPLIT(Raw!A58, "","")"),2.34415584415584)</f>
        <v>2.344155844</v>
      </c>
      <c r="B50" s="4">
        <f>IFERROR(__xludf.DUMMYFUNCTION("""COMPUTED_VALUE"""),7727.27272727272)</f>
        <v>7727.272727</v>
      </c>
      <c r="D50" s="1">
        <v>2.3</v>
      </c>
      <c r="E50" s="1">
        <v>2.39999999999999</v>
      </c>
      <c r="F50" s="4">
        <f t="shared" si="1"/>
        <v>6212</v>
      </c>
    </row>
    <row r="51">
      <c r="A51" s="4">
        <f>IFERROR(__xludf.DUMMYFUNCTION("SPLIT(Raw!A59, "","")"),2.44805194805194)</f>
        <v>2.448051948</v>
      </c>
      <c r="B51" s="4">
        <f>IFERROR(__xludf.DUMMYFUNCTION("""COMPUTED_VALUE"""),6060.60606060606)</f>
        <v>6060.606061</v>
      </c>
      <c r="D51" s="1">
        <v>2.4</v>
      </c>
      <c r="E51" s="1">
        <v>2.49999999999999</v>
      </c>
      <c r="F51" s="4">
        <f t="shared" si="1"/>
        <v>4848</v>
      </c>
    </row>
    <row r="52">
      <c r="A52" s="4">
        <f>IFERROR(__xludf.DUMMYFUNCTION("SPLIT(Raw!A60, "","")"),-2.45454545454545)</f>
        <v>-2.454545455</v>
      </c>
      <c r="B52" s="4">
        <f>IFERROR(__xludf.DUMMYFUNCTION("""COMPUTED_VALUE"""),1363.63636363636)</f>
        <v>1363.636364</v>
      </c>
    </row>
    <row r="53">
      <c r="A53" s="4">
        <f>IFERROR(__xludf.DUMMYFUNCTION("SPLIT(Raw!A61, "","")"),-2.35064935064935)</f>
        <v>-2.350649351</v>
      </c>
      <c r="B53" s="4">
        <f>IFERROR(__xludf.DUMMYFUNCTION("""COMPUTED_VALUE"""),1666.66666666666)</f>
        <v>1666.666667</v>
      </c>
    </row>
    <row r="54">
      <c r="A54" s="4">
        <f>IFERROR(__xludf.DUMMYFUNCTION("SPLIT(Raw!A62, "","")"),-2.25324675324675)</f>
        <v>-2.253246753</v>
      </c>
      <c r="B54" s="4">
        <f>IFERROR(__xludf.DUMMYFUNCTION("""COMPUTED_VALUE"""),1666.66666666666)</f>
        <v>1666.666667</v>
      </c>
    </row>
    <row r="55">
      <c r="A55" s="4">
        <f>IFERROR(__xludf.DUMMYFUNCTION("SPLIT(Raw!A63, "","")"),-2.14935064935064)</f>
        <v>-2.149350649</v>
      </c>
      <c r="B55" s="4">
        <f>IFERROR(__xludf.DUMMYFUNCTION("""COMPUTED_VALUE"""),1666.66666666666)</f>
        <v>1666.666667</v>
      </c>
    </row>
    <row r="56">
      <c r="A56" s="4">
        <f>IFERROR(__xludf.DUMMYFUNCTION("SPLIT(Raw!A64, "","")"),-2.05844155844155)</f>
        <v>-2.058441558</v>
      </c>
      <c r="B56" s="4">
        <f>IFERROR(__xludf.DUMMYFUNCTION("""COMPUTED_VALUE"""),1969.69696969697)</f>
        <v>1969.69697</v>
      </c>
    </row>
    <row r="57">
      <c r="A57" s="4">
        <f>IFERROR(__xludf.DUMMYFUNCTION("SPLIT(Raw!A65, "","")"),-1.94805194805194)</f>
        <v>-1.948051948</v>
      </c>
      <c r="B57" s="4">
        <f>IFERROR(__xludf.DUMMYFUNCTION("""COMPUTED_VALUE"""),1666.66666666666)</f>
        <v>1666.666667</v>
      </c>
    </row>
    <row r="58">
      <c r="A58" s="4">
        <f>IFERROR(__xludf.DUMMYFUNCTION("SPLIT(Raw!A66, "","")"),-1.85064935064935)</f>
        <v>-1.850649351</v>
      </c>
      <c r="B58" s="4">
        <f>IFERROR(__xludf.DUMMYFUNCTION("""COMPUTED_VALUE"""),2424.24242424242)</f>
        <v>2424.242424</v>
      </c>
    </row>
    <row r="59">
      <c r="A59" s="4">
        <f>IFERROR(__xludf.DUMMYFUNCTION("SPLIT(Raw!A67, "","")"),-1.74675324675324)</f>
        <v>-1.746753247</v>
      </c>
      <c r="B59" s="4">
        <f>IFERROR(__xludf.DUMMYFUNCTION("""COMPUTED_VALUE"""),2878.78787878788)</f>
        <v>2878.787879</v>
      </c>
    </row>
    <row r="60">
      <c r="A60" s="4">
        <f>IFERROR(__xludf.DUMMYFUNCTION("SPLIT(Raw!A68, "","")"),-1.66233766233766)</f>
        <v>-1.662337662</v>
      </c>
      <c r="B60" s="4">
        <f>IFERROR(__xludf.DUMMYFUNCTION("""COMPUTED_VALUE"""),3030.30303030303)</f>
        <v>3030.30303</v>
      </c>
    </row>
    <row r="61">
      <c r="A61" s="4">
        <f>IFERROR(__xludf.DUMMYFUNCTION("SPLIT(Raw!A69, "","")"),-1.55194805194805)</f>
        <v>-1.551948052</v>
      </c>
      <c r="B61" s="4">
        <f>IFERROR(__xludf.DUMMYFUNCTION("""COMPUTED_VALUE"""),3333.33333333333)</f>
        <v>3333.333333</v>
      </c>
    </row>
    <row r="62">
      <c r="A62" s="4">
        <f>IFERROR(__xludf.DUMMYFUNCTION("SPLIT(Raw!A70, "","")"),-1.45454545454545)</f>
        <v>-1.454545455</v>
      </c>
      <c r="B62" s="4">
        <f>IFERROR(__xludf.DUMMYFUNCTION("""COMPUTED_VALUE"""),3181.81818181818)</f>
        <v>3181.818182</v>
      </c>
    </row>
    <row r="63">
      <c r="A63" s="4">
        <f>IFERROR(__xludf.DUMMYFUNCTION("SPLIT(Raw!A71, "","")"),-1.35064935064935)</f>
        <v>-1.350649351</v>
      </c>
      <c r="B63" s="4">
        <f>IFERROR(__xludf.DUMMYFUNCTION("""COMPUTED_VALUE"""),3939.39393939394)</f>
        <v>3939.393939</v>
      </c>
    </row>
    <row r="64">
      <c r="A64" s="4">
        <f>IFERROR(__xludf.DUMMYFUNCTION("SPLIT(Raw!A72, "","")"),-1.25324675324675)</f>
        <v>-1.253246753</v>
      </c>
      <c r="B64" s="4">
        <f>IFERROR(__xludf.DUMMYFUNCTION("""COMPUTED_VALUE"""),4090.90909090909)</f>
        <v>4090.909091</v>
      </c>
    </row>
    <row r="65">
      <c r="A65" s="4">
        <f>IFERROR(__xludf.DUMMYFUNCTION("SPLIT(Raw!A73, "","")"),-1.14935064935064)</f>
        <v>-1.149350649</v>
      </c>
      <c r="B65" s="4">
        <f>IFERROR(__xludf.DUMMYFUNCTION("""COMPUTED_VALUE"""),4242.42424242424)</f>
        <v>4242.424242</v>
      </c>
    </row>
    <row r="66">
      <c r="A66" s="4">
        <f>IFERROR(__xludf.DUMMYFUNCTION("SPLIT(Raw!A74, "","")"),-1.05194805194805)</f>
        <v>-1.051948052</v>
      </c>
      <c r="B66" s="4">
        <f>IFERROR(__xludf.DUMMYFUNCTION("""COMPUTED_VALUE"""),3787.87878787878)</f>
        <v>3787.878788</v>
      </c>
    </row>
    <row r="67">
      <c r="A67" s="4">
        <f>IFERROR(__xludf.DUMMYFUNCTION("SPLIT(Raw!A75, "","")"),-0.954545454545454)</f>
        <v>-0.9545454545</v>
      </c>
      <c r="B67" s="4">
        <f>IFERROR(__xludf.DUMMYFUNCTION("""COMPUTED_VALUE"""),4242.42424242424)</f>
        <v>4242.424242</v>
      </c>
    </row>
    <row r="68">
      <c r="A68" s="4">
        <f>IFERROR(__xludf.DUMMYFUNCTION("SPLIT(Raw!A76, "","")"),-0.857142857142857)</f>
        <v>-0.8571428571</v>
      </c>
      <c r="B68" s="4">
        <f>IFERROR(__xludf.DUMMYFUNCTION("""COMPUTED_VALUE"""),4393.93939393939)</f>
        <v>4393.939394</v>
      </c>
    </row>
    <row r="69">
      <c r="A69" s="4">
        <f>IFERROR(__xludf.DUMMYFUNCTION("SPLIT(Raw!A77, "","")"),-0.753246753246753)</f>
        <v>-0.7532467532</v>
      </c>
      <c r="B69" s="4">
        <f>IFERROR(__xludf.DUMMYFUNCTION("""COMPUTED_VALUE"""),4545.45454545454)</f>
        <v>4545.454545</v>
      </c>
    </row>
    <row r="70">
      <c r="A70" s="4">
        <f>IFERROR(__xludf.DUMMYFUNCTION("SPLIT(Raw!A78, "","")"),-0.662337662337662)</f>
        <v>-0.6623376623</v>
      </c>
      <c r="B70" s="4">
        <f>IFERROR(__xludf.DUMMYFUNCTION("""COMPUTED_VALUE"""),4696.96969696969)</f>
        <v>4696.969697</v>
      </c>
    </row>
    <row r="71">
      <c r="A71" s="4">
        <f>IFERROR(__xludf.DUMMYFUNCTION("SPLIT(Raw!A79, "","")"),-0.558441558441558)</f>
        <v>-0.5584415584</v>
      </c>
      <c r="B71" s="4">
        <f>IFERROR(__xludf.DUMMYFUNCTION("""COMPUTED_VALUE"""),4848.48484848484)</f>
        <v>4848.484848</v>
      </c>
    </row>
    <row r="72">
      <c r="A72" s="4">
        <f>IFERROR(__xludf.DUMMYFUNCTION("SPLIT(Raw!A80, "","")"),-0.454545454545454)</f>
        <v>-0.4545454545</v>
      </c>
      <c r="B72" s="4">
        <f>IFERROR(__xludf.DUMMYFUNCTION("""COMPUTED_VALUE"""),4848.48484848484)</f>
        <v>4848.484848</v>
      </c>
    </row>
    <row r="73">
      <c r="A73" s="4">
        <f>IFERROR(__xludf.DUMMYFUNCTION("SPLIT(Raw!A81, "","")"),-0.357142857142857)</f>
        <v>-0.3571428571</v>
      </c>
      <c r="B73" s="4">
        <f>IFERROR(__xludf.DUMMYFUNCTION("""COMPUTED_VALUE"""),5000.0)</f>
        <v>5000</v>
      </c>
    </row>
    <row r="74">
      <c r="A74" s="4">
        <f>IFERROR(__xludf.DUMMYFUNCTION("SPLIT(Raw!A82, "","")"),-0.253246753246753)</f>
        <v>-0.2532467532</v>
      </c>
      <c r="B74" s="4">
        <f>IFERROR(__xludf.DUMMYFUNCTION("""COMPUTED_VALUE"""),5151.51515151515)</f>
        <v>5151.515152</v>
      </c>
    </row>
    <row r="75">
      <c r="A75" s="4">
        <f>IFERROR(__xludf.DUMMYFUNCTION("SPLIT(Raw!A83, "","")"),-0.142857142857142)</f>
        <v>-0.1428571429</v>
      </c>
      <c r="B75" s="4">
        <f>IFERROR(__xludf.DUMMYFUNCTION("""COMPUTED_VALUE"""),5303.0303030303)</f>
        <v>5303.030303</v>
      </c>
    </row>
    <row r="76">
      <c r="A76" s="4">
        <f>IFERROR(__xludf.DUMMYFUNCTION("SPLIT(Raw!A84, "","")"),-0.0519480519480517)</f>
        <v>-0.05194805195</v>
      </c>
      <c r="B76" s="4">
        <f>IFERROR(__xludf.DUMMYFUNCTION("""COMPUTED_VALUE"""),5454.54545454545)</f>
        <v>5454.545455</v>
      </c>
    </row>
    <row r="77">
      <c r="A77" s="4">
        <f>IFERROR(__xludf.DUMMYFUNCTION("SPLIT(Raw!A85, "","")"),0.0584415584415585)</f>
        <v>0.05844155844</v>
      </c>
      <c r="B77" s="4">
        <f>IFERROR(__xludf.DUMMYFUNCTION("""COMPUTED_VALUE"""),4545.45454545454)</f>
        <v>4545.454545</v>
      </c>
    </row>
    <row r="78">
      <c r="A78" s="4">
        <f>IFERROR(__xludf.DUMMYFUNCTION("SPLIT(Raw!A86, "","")"),0.149350649350649)</f>
        <v>0.1493506494</v>
      </c>
      <c r="B78" s="4">
        <f>IFERROR(__xludf.DUMMYFUNCTION("""COMPUTED_VALUE"""),5151.51515151515)</f>
        <v>5151.515152</v>
      </c>
    </row>
    <row r="79">
      <c r="A79" s="4">
        <f>IFERROR(__xludf.DUMMYFUNCTION("SPLIT(Raw!A87, "","")"),0.246753246753246)</f>
        <v>0.2467532468</v>
      </c>
      <c r="B79" s="4">
        <f>IFERROR(__xludf.DUMMYFUNCTION("""COMPUTED_VALUE"""),5000.0)</f>
        <v>5000</v>
      </c>
    </row>
    <row r="80">
      <c r="A80" s="4">
        <f>IFERROR(__xludf.DUMMYFUNCTION("SPLIT(Raw!A88, "","")"),0.35064935064935)</f>
        <v>0.3506493506</v>
      </c>
      <c r="B80" s="4">
        <f>IFERROR(__xludf.DUMMYFUNCTION("""COMPUTED_VALUE"""),4696.96969696969)</f>
        <v>4696.969697</v>
      </c>
    </row>
    <row r="81">
      <c r="A81" s="4">
        <f>IFERROR(__xludf.DUMMYFUNCTION("SPLIT(Raw!A89, "","")"),0.441558441558441)</f>
        <v>0.4415584416</v>
      </c>
      <c r="B81" s="4">
        <f>IFERROR(__xludf.DUMMYFUNCTION("""COMPUTED_VALUE"""),4848.48484848484)</f>
        <v>4848.484848</v>
      </c>
    </row>
    <row r="82">
      <c r="A82" s="4">
        <f>IFERROR(__xludf.DUMMYFUNCTION("SPLIT(Raw!A90, "","")"),0.545454545454545)</f>
        <v>0.5454545455</v>
      </c>
      <c r="B82" s="4">
        <f>IFERROR(__xludf.DUMMYFUNCTION("""COMPUTED_VALUE"""),5000.0)</f>
        <v>5000</v>
      </c>
    </row>
    <row r="83">
      <c r="A83" s="4">
        <f>IFERROR(__xludf.DUMMYFUNCTION("SPLIT(Raw!A91, "","")"),0.642857142857143)</f>
        <v>0.6428571429</v>
      </c>
      <c r="B83" s="4">
        <f>IFERROR(__xludf.DUMMYFUNCTION("""COMPUTED_VALUE"""),5000.0)</f>
        <v>5000</v>
      </c>
    </row>
    <row r="84">
      <c r="A84" s="4">
        <f>IFERROR(__xludf.DUMMYFUNCTION("SPLIT(Raw!A92, "","")"),0.759740259740259)</f>
        <v>0.7597402597</v>
      </c>
      <c r="B84" s="4">
        <f>IFERROR(__xludf.DUMMYFUNCTION("""COMPUTED_VALUE"""),4242.42424242424)</f>
        <v>4242.424242</v>
      </c>
    </row>
    <row r="85">
      <c r="A85" s="4">
        <f>IFERROR(__xludf.DUMMYFUNCTION("SPLIT(Raw!A93, "","")"),0.837662337662338)</f>
        <v>0.8376623377</v>
      </c>
      <c r="B85" s="4">
        <f>IFERROR(__xludf.DUMMYFUNCTION("""COMPUTED_VALUE"""),4696.96969696969)</f>
        <v>4696.969697</v>
      </c>
    </row>
    <row r="86">
      <c r="A86" s="4">
        <f>IFERROR(__xludf.DUMMYFUNCTION("SPLIT(Raw!A94, "","")"),0.948051948051948)</f>
        <v>0.9480519481</v>
      </c>
      <c r="B86" s="4">
        <f>IFERROR(__xludf.DUMMYFUNCTION("""COMPUTED_VALUE"""),4696.96969696969)</f>
        <v>4696.969697</v>
      </c>
    </row>
    <row r="87">
      <c r="A87" s="4">
        <f>IFERROR(__xludf.DUMMYFUNCTION("SPLIT(Raw!A95, "","")"),1.04545454545454)</f>
        <v>1.045454545</v>
      </c>
      <c r="B87" s="4">
        <f>IFERROR(__xludf.DUMMYFUNCTION("""COMPUTED_VALUE"""),3939.39393939394)</f>
        <v>3939.393939</v>
      </c>
    </row>
    <row r="88">
      <c r="A88" s="4">
        <f>IFERROR(__xludf.DUMMYFUNCTION("SPLIT(Raw!A96, "","")"),1.12987012987013)</f>
        <v>1.12987013</v>
      </c>
      <c r="B88" s="4">
        <f>IFERROR(__xludf.DUMMYFUNCTION("""COMPUTED_VALUE"""),4090.90909090909)</f>
        <v>4090.909091</v>
      </c>
    </row>
    <row r="89">
      <c r="A89" s="4">
        <f>IFERROR(__xludf.DUMMYFUNCTION("SPLIT(Raw!A97, "","")"),1.24675324675324)</f>
        <v>1.246753247</v>
      </c>
      <c r="B89" s="4">
        <f>IFERROR(__xludf.DUMMYFUNCTION("""COMPUTED_VALUE"""),3787.87878787878)</f>
        <v>3787.878788</v>
      </c>
    </row>
    <row r="90">
      <c r="A90" s="4">
        <f>IFERROR(__xludf.DUMMYFUNCTION("SPLIT(Raw!A98, "","")"),1.34415584415584)</f>
        <v>1.344155844</v>
      </c>
      <c r="B90" s="4">
        <f>IFERROR(__xludf.DUMMYFUNCTION("""COMPUTED_VALUE"""),3636.36363636363)</f>
        <v>3636.363636</v>
      </c>
    </row>
    <row r="91">
      <c r="A91" s="4">
        <f>IFERROR(__xludf.DUMMYFUNCTION("SPLIT(Raw!A99, "","")"),1.44805194805194)</f>
        <v>1.448051948</v>
      </c>
      <c r="B91" s="4">
        <f>IFERROR(__xludf.DUMMYFUNCTION("""COMPUTED_VALUE"""),3484.84848484848)</f>
        <v>3484.848485</v>
      </c>
    </row>
    <row r="92">
      <c r="A92" s="4">
        <f>IFERROR(__xludf.DUMMYFUNCTION("SPLIT(Raw!A100, "","")"),1.54545454545454)</f>
        <v>1.545454545</v>
      </c>
      <c r="B92" s="4">
        <f>IFERROR(__xludf.DUMMYFUNCTION("""COMPUTED_VALUE"""),3484.84848484848)</f>
        <v>3484.848485</v>
      </c>
    </row>
    <row r="93">
      <c r="A93" s="4">
        <f>IFERROR(__xludf.DUMMYFUNCTION("SPLIT(Raw!A101, "","")"),1.64285714285714)</f>
        <v>1.642857143</v>
      </c>
      <c r="B93" s="4">
        <f>IFERROR(__xludf.DUMMYFUNCTION("""COMPUTED_VALUE"""),2727.27272727272)</f>
        <v>2727.272727</v>
      </c>
    </row>
    <row r="94">
      <c r="A94" s="4">
        <f>IFERROR(__xludf.DUMMYFUNCTION("SPLIT(Raw!A102, "","")"),1.73376623376623)</f>
        <v>1.733766234</v>
      </c>
      <c r="B94" s="4">
        <f>IFERROR(__xludf.DUMMYFUNCTION("""COMPUTED_VALUE"""),2272.72727272727)</f>
        <v>2272.727273</v>
      </c>
    </row>
    <row r="95">
      <c r="A95" s="4">
        <f>IFERROR(__xludf.DUMMYFUNCTION("SPLIT(Raw!A103, "","")"),1.84415584415584)</f>
        <v>1.844155844</v>
      </c>
      <c r="B95" s="4">
        <f>IFERROR(__xludf.DUMMYFUNCTION("""COMPUTED_VALUE"""),2272.72727272727)</f>
        <v>2272.727273</v>
      </c>
    </row>
    <row r="96">
      <c r="A96" s="4">
        <f>IFERROR(__xludf.DUMMYFUNCTION("SPLIT(Raw!A104, "","")"),1.94805194805194)</f>
        <v>1.948051948</v>
      </c>
      <c r="B96" s="4">
        <f>IFERROR(__xludf.DUMMYFUNCTION("""COMPUTED_VALUE"""),1818.18181818181)</f>
        <v>1818.181818</v>
      </c>
    </row>
    <row r="97">
      <c r="A97" s="4">
        <f>IFERROR(__xludf.DUMMYFUNCTION("SPLIT(Raw!A105, "","")"),2.05194805194805)</f>
        <v>2.051948052</v>
      </c>
      <c r="B97" s="4">
        <f>IFERROR(__xludf.DUMMYFUNCTION("""COMPUTED_VALUE"""),1818.18181818181)</f>
        <v>1818.181818</v>
      </c>
    </row>
    <row r="98">
      <c r="A98" s="4">
        <f>IFERROR(__xludf.DUMMYFUNCTION("SPLIT(Raw!A106, "","")"),2.15584415584415)</f>
        <v>2.155844156</v>
      </c>
      <c r="B98" s="4">
        <f>IFERROR(__xludf.DUMMYFUNCTION("""COMPUTED_VALUE"""),1666.66666666666)</f>
        <v>1666.666667</v>
      </c>
    </row>
    <row r="99">
      <c r="A99" s="4">
        <f>IFERROR(__xludf.DUMMYFUNCTION("SPLIT(Raw!A107, "","")"),2.23376623376623)</f>
        <v>2.233766234</v>
      </c>
      <c r="B99" s="4">
        <f>IFERROR(__xludf.DUMMYFUNCTION("""COMPUTED_VALUE"""),1515.15151515151)</f>
        <v>1515.151515</v>
      </c>
    </row>
    <row r="100">
      <c r="A100" s="4">
        <f>IFERROR(__xludf.DUMMYFUNCTION("SPLIT(Raw!A108, "","")"),2.33766233766233)</f>
        <v>2.337662338</v>
      </c>
      <c r="B100" s="4">
        <f>IFERROR(__xludf.DUMMYFUNCTION("""COMPUTED_VALUE"""),1515.15151515151)</f>
        <v>1515.151515</v>
      </c>
    </row>
    <row r="101">
      <c r="A101" s="4">
        <f>IFERROR(__xludf.DUMMYFUNCTION("SPLIT(Raw!A109, "","")"),2.45454545454545)</f>
        <v>2.454545455</v>
      </c>
      <c r="B101" s="4">
        <f>IFERROR(__xludf.DUMMYFUNCTION("""COMPUTED_VALUE"""),1212.12121212121)</f>
        <v>1212.121212</v>
      </c>
    </row>
  </sheetData>
  <mergeCells count="1">
    <mergeCell ref="D1:E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557</v>
      </c>
      <c r="B1" s="1" t="s">
        <v>554</v>
      </c>
      <c r="D1" s="2" t="s">
        <v>556</v>
      </c>
      <c r="F1" s="3" t="s">
        <v>554</v>
      </c>
    </row>
    <row r="2">
      <c r="A2" s="4">
        <f>IFERROR(__xludf.DUMMYFUNCTION("SPLIT(Raw!E2, "","")"),0.995584988962472)</f>
        <v>0.995584989</v>
      </c>
      <c r="B2" s="4">
        <f>IFERROR(__xludf.DUMMYFUNCTION("""COMPUTED_VALUE"""),7049.18032786885)</f>
        <v>7049.180328</v>
      </c>
      <c r="D2" s="1">
        <v>0.5</v>
      </c>
      <c r="E2" s="1">
        <v>1.5</v>
      </c>
      <c r="F2" s="4">
        <f t="shared" ref="F2:F4" si="1">round(B2-B5,0)</f>
        <v>5858</v>
      </c>
    </row>
    <row r="3">
      <c r="A3" s="4">
        <f>IFERROR(__xludf.DUMMYFUNCTION("SPLIT(Raw!E3, "","")"),2.00220750551876)</f>
        <v>2.002207506</v>
      </c>
      <c r="B3" s="4">
        <f>IFERROR(__xludf.DUMMYFUNCTION("""COMPUTED_VALUE"""),1300.54644808743)</f>
        <v>1300.546448</v>
      </c>
      <c r="D3" s="1">
        <v>1.5</v>
      </c>
      <c r="E3" s="1">
        <v>2.5</v>
      </c>
      <c r="F3" s="4">
        <f t="shared" si="1"/>
        <v>1027</v>
      </c>
    </row>
    <row r="4">
      <c r="A4" s="4">
        <f>IFERROR(__xludf.DUMMYFUNCTION("SPLIT(Raw!E4, "","")"),3.0)</f>
        <v>3</v>
      </c>
      <c r="B4" s="4">
        <f>IFERROR(__xludf.DUMMYFUNCTION("""COMPUTED_VALUE"""),10.928961748634)</f>
        <v>10.92896175</v>
      </c>
      <c r="D4" s="1">
        <v>2.5</v>
      </c>
      <c r="E4" s="1">
        <v>3.5</v>
      </c>
      <c r="F4" s="4">
        <f t="shared" si="1"/>
        <v>0</v>
      </c>
    </row>
    <row r="5">
      <c r="A5" s="4">
        <f>IFERROR(__xludf.DUMMYFUNCTION("SPLIT(Raw!E5, "","")"),0.995584988962472)</f>
        <v>0.995584989</v>
      </c>
      <c r="B5" s="4">
        <f>IFERROR(__xludf.DUMMYFUNCTION("""COMPUTED_VALUE"""),1191.25683060109)</f>
        <v>1191.256831</v>
      </c>
    </row>
    <row r="6">
      <c r="A6" s="4">
        <f>IFERROR(__xludf.DUMMYFUNCTION("SPLIT(Raw!E6, "","")"),1.99779249448123)</f>
        <v>1.997792494</v>
      </c>
      <c r="B6" s="4">
        <f>IFERROR(__xludf.DUMMYFUNCTION("""COMPUTED_VALUE"""),273.224043715847)</f>
        <v>273.2240437</v>
      </c>
    </row>
    <row r="7">
      <c r="A7" s="4">
        <f>IFERROR(__xludf.DUMMYFUNCTION("SPLIT(Raw!E7, "","")"),3.0)</f>
        <v>3</v>
      </c>
      <c r="B7" s="4">
        <f>IFERROR(__xludf.DUMMYFUNCTION("""COMPUTED_VALUE"""),10.928961748634)</f>
        <v>10.92896175</v>
      </c>
    </row>
  </sheetData>
  <mergeCells count="1">
    <mergeCell ref="D1:E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560</v>
      </c>
      <c r="B1" s="1" t="s">
        <v>554</v>
      </c>
      <c r="D1" s="2" t="s">
        <v>556</v>
      </c>
      <c r="F1" s="1" t="s">
        <v>554</v>
      </c>
    </row>
    <row r="2">
      <c r="A2" s="4">
        <f>IFERROR(__xludf.DUMMYFUNCTION("SPLIT(Raw!E10, "","")"),312.596401028277)</f>
        <v>312.596401</v>
      </c>
      <c r="B2" s="4">
        <f>IFERROR(__xludf.DUMMYFUNCTION("""COMPUTED_VALUE"""),93.2603938730853)</f>
        <v>93.26039387</v>
      </c>
      <c r="D2" s="1">
        <v>300.0</v>
      </c>
      <c r="E2" s="1">
        <v>325.0</v>
      </c>
      <c r="F2" s="4">
        <f t="shared" ref="F2:F15" si="1">round(B2-B16,0)</f>
        <v>79</v>
      </c>
    </row>
    <row r="3">
      <c r="A3" s="4">
        <f>IFERROR(__xludf.DUMMYFUNCTION("SPLIT(Raw!E11, "","")"),337.275064267352)</f>
        <v>337.2750643</v>
      </c>
      <c r="B3" s="4">
        <f>IFERROR(__xludf.DUMMYFUNCTION("""COMPUTED_VALUE"""),70.4157549234135)</f>
        <v>70.41575492</v>
      </c>
      <c r="D3" s="1">
        <v>325.0</v>
      </c>
      <c r="E3" s="1">
        <v>350.0</v>
      </c>
      <c r="F3" s="4">
        <f t="shared" si="1"/>
        <v>59</v>
      </c>
    </row>
    <row r="4">
      <c r="A4" s="4">
        <f>IFERROR(__xludf.DUMMYFUNCTION("SPLIT(Raw!E12, "","")"),364.010282776349)</f>
        <v>364.0102828</v>
      </c>
      <c r="B4" s="4">
        <f>IFERROR(__xludf.DUMMYFUNCTION("""COMPUTED_VALUE"""),53.8730853391684)</f>
        <v>53.87308534</v>
      </c>
      <c r="D4" s="1">
        <v>350.0</v>
      </c>
      <c r="E4" s="1">
        <v>375.0</v>
      </c>
      <c r="F4" s="4">
        <f t="shared" si="1"/>
        <v>44</v>
      </c>
    </row>
    <row r="5">
      <c r="A5" s="4">
        <f>IFERROR(__xludf.DUMMYFUNCTION("SPLIT(Raw!E13, "","")"),386.632390745501)</f>
        <v>386.6323907</v>
      </c>
      <c r="B5" s="4">
        <f>IFERROR(__xludf.DUMMYFUNCTION("""COMPUTED_VALUE"""),40.2188183807439)</f>
        <v>40.21881838</v>
      </c>
      <c r="D5" s="1">
        <v>375.0</v>
      </c>
      <c r="E5" s="1">
        <v>400.0</v>
      </c>
      <c r="F5" s="4">
        <f t="shared" si="1"/>
        <v>33</v>
      </c>
    </row>
    <row r="6">
      <c r="A6" s="4">
        <f>IFERROR(__xludf.DUMMYFUNCTION("SPLIT(Raw!E14, "","")"),412.339331619537)</f>
        <v>412.3393316</v>
      </c>
      <c r="B6" s="4">
        <f>IFERROR(__xludf.DUMMYFUNCTION("""COMPUTED_VALUE"""),30.2407002188183)</f>
        <v>30.24070022</v>
      </c>
      <c r="D6" s="1">
        <v>400.0</v>
      </c>
      <c r="E6" s="1">
        <v>425.0</v>
      </c>
      <c r="F6" s="4">
        <f t="shared" si="1"/>
        <v>24</v>
      </c>
    </row>
    <row r="7">
      <c r="A7" s="4">
        <f>IFERROR(__xludf.DUMMYFUNCTION("SPLIT(Raw!E15, "","")"),438.046272493573)</f>
        <v>438.0462725</v>
      </c>
      <c r="B7" s="4">
        <f>IFERROR(__xludf.DUMMYFUNCTION("""COMPUTED_VALUE"""),23.4135667396061)</f>
        <v>23.41356674</v>
      </c>
      <c r="D7" s="1">
        <v>425.0</v>
      </c>
      <c r="E7" s="1">
        <v>450.0</v>
      </c>
      <c r="F7" s="4">
        <f t="shared" si="1"/>
        <v>18</v>
      </c>
    </row>
    <row r="8">
      <c r="A8" s="4">
        <f>IFERROR(__xludf.DUMMYFUNCTION("SPLIT(Raw!E16, "","")"),461.696658097686)</f>
        <v>461.6966581</v>
      </c>
      <c r="B8" s="4">
        <f>IFERROR(__xludf.DUMMYFUNCTION("""COMPUTED_VALUE"""),17.3741794310722)</f>
        <v>17.37417943</v>
      </c>
      <c r="D8" s="1">
        <v>450.0</v>
      </c>
      <c r="E8" s="1">
        <v>475.0</v>
      </c>
      <c r="F8" s="4">
        <f t="shared" si="1"/>
        <v>14</v>
      </c>
    </row>
    <row r="9">
      <c r="A9" s="4">
        <f>IFERROR(__xludf.DUMMYFUNCTION("SPLIT(Raw!E17, "","")"),487.403598971722)</f>
        <v>487.403599</v>
      </c>
      <c r="B9" s="4">
        <f>IFERROR(__xludf.DUMMYFUNCTION("""COMPUTED_VALUE"""),13.1728665207877)</f>
        <v>13.17286652</v>
      </c>
      <c r="D9" s="1">
        <v>475.0</v>
      </c>
      <c r="E9" s="1">
        <v>500.0</v>
      </c>
      <c r="F9" s="4">
        <f t="shared" si="1"/>
        <v>11</v>
      </c>
    </row>
    <row r="10">
      <c r="A10" s="4">
        <f>IFERROR(__xludf.DUMMYFUNCTION("SPLIT(Raw!E18, "","")"),524.421593830334)</f>
        <v>524.4215938</v>
      </c>
      <c r="B10" s="4">
        <f>IFERROR(__xludf.DUMMYFUNCTION("""COMPUTED_VALUE"""),8.97155361050328)</f>
        <v>8.971553611</v>
      </c>
      <c r="D10" s="1">
        <v>500.0</v>
      </c>
      <c r="E10" s="1">
        <v>550.0</v>
      </c>
      <c r="F10" s="4">
        <f t="shared" si="1"/>
        <v>7</v>
      </c>
    </row>
    <row r="11">
      <c r="A11" s="4">
        <f>IFERROR(__xludf.DUMMYFUNCTION("SPLIT(Raw!E19, "","")"),574.807197943444)</f>
        <v>574.8071979</v>
      </c>
      <c r="B11" s="4">
        <f>IFERROR(__xludf.DUMMYFUNCTION("""COMPUTED_VALUE"""),5.29540481400437)</f>
        <v>5.295404814</v>
      </c>
      <c r="D11" s="1">
        <v>550.0</v>
      </c>
      <c r="E11" s="1">
        <v>600.0</v>
      </c>
      <c r="F11" s="4">
        <f t="shared" si="1"/>
        <v>4</v>
      </c>
    </row>
    <row r="12">
      <c r="A12" s="4">
        <f>IFERROR(__xludf.DUMMYFUNCTION("SPLIT(Raw!E20, "","")"),649.871465295629)</f>
        <v>649.8714653</v>
      </c>
      <c r="B12" s="4">
        <f>IFERROR(__xludf.DUMMYFUNCTION("""COMPUTED_VALUE"""),2.93216630196936)</f>
        <v>2.932166302</v>
      </c>
      <c r="D12" s="1">
        <v>600.0</v>
      </c>
      <c r="E12" s="1">
        <v>700.0</v>
      </c>
      <c r="F12" s="4">
        <f t="shared" si="1"/>
        <v>2</v>
      </c>
    </row>
    <row r="13">
      <c r="A13" s="4">
        <f>IFERROR(__xludf.DUMMYFUNCTION("SPLIT(Raw!E21, "","")"),749.614395886889)</f>
        <v>749.6143959</v>
      </c>
      <c r="B13" s="4">
        <f>IFERROR(__xludf.DUMMYFUNCTION("""COMPUTED_VALUE"""),1.61925601750547)</f>
        <v>1.619256018</v>
      </c>
      <c r="D13" s="1">
        <v>700.0</v>
      </c>
      <c r="E13" s="1">
        <v>800.0</v>
      </c>
      <c r="F13" s="4">
        <f t="shared" si="1"/>
        <v>0</v>
      </c>
    </row>
    <row r="14">
      <c r="A14" s="4">
        <f>IFERROR(__xludf.DUMMYFUNCTION("SPLIT(Raw!E22, "","")"),851.413881748072)</f>
        <v>851.4138817</v>
      </c>
      <c r="B14" s="4">
        <f>IFERROR(__xludf.DUMMYFUNCTION("""COMPUTED_VALUE"""),1.09409190371991)</f>
        <v>1.094091904</v>
      </c>
      <c r="D14" s="1">
        <v>800.0</v>
      </c>
      <c r="E14" s="1">
        <v>900.0</v>
      </c>
      <c r="F14" s="4">
        <f t="shared" si="1"/>
        <v>0</v>
      </c>
    </row>
    <row r="15">
      <c r="A15" s="4">
        <f>IFERROR(__xludf.DUMMYFUNCTION("SPLIT(Raw!E23, "","")"),950.12853470437)</f>
        <v>950.1285347</v>
      </c>
      <c r="B15" s="4">
        <f>IFERROR(__xludf.DUMMYFUNCTION("""COMPUTED_VALUE"""),0.831509846827135)</f>
        <v>0.8315098468</v>
      </c>
      <c r="D15" s="1">
        <v>900.0</v>
      </c>
      <c r="E15" s="1">
        <v>1000.0</v>
      </c>
      <c r="F15" s="4">
        <f t="shared" si="1"/>
        <v>0</v>
      </c>
    </row>
    <row r="16">
      <c r="A16" s="4">
        <f>IFERROR(__xludf.DUMMYFUNCTION("SPLIT(Raw!E24, "","")"),313.624678663239)</f>
        <v>313.6246787</v>
      </c>
      <c r="B16" s="4">
        <f>IFERROR(__xludf.DUMMYFUNCTION("""COMPUTED_VALUE"""),14.4857768052516)</f>
        <v>14.48577681</v>
      </c>
    </row>
    <row r="17">
      <c r="A17" s="4">
        <f>IFERROR(__xludf.DUMMYFUNCTION("SPLIT(Raw!E25, "","")"),339.331619537275)</f>
        <v>339.3316195</v>
      </c>
      <c r="B17" s="4">
        <f>IFERROR(__xludf.DUMMYFUNCTION("""COMPUTED_VALUE"""),11.0722100656455)</f>
        <v>11.07221007</v>
      </c>
    </row>
    <row r="18">
      <c r="A18" s="4">
        <f>IFERROR(__xludf.DUMMYFUNCTION("SPLIT(Raw!E26, "","")"),364.010282776349)</f>
        <v>364.0102828</v>
      </c>
      <c r="B18" s="4">
        <f>IFERROR(__xludf.DUMMYFUNCTION("""COMPUTED_VALUE"""),9.49671772428884)</f>
        <v>9.496717724</v>
      </c>
    </row>
    <row r="19">
      <c r="A19" s="4">
        <f>IFERROR(__xludf.DUMMYFUNCTION("SPLIT(Raw!E27, "","")"),387.660668380462)</f>
        <v>387.6606684</v>
      </c>
      <c r="B19" s="4">
        <f>IFERROR(__xludf.DUMMYFUNCTION("""COMPUTED_VALUE"""),7.13347921225383)</f>
        <v>7.133479212</v>
      </c>
    </row>
    <row r="20">
      <c r="A20" s="4">
        <f>IFERROR(__xludf.DUMMYFUNCTION("SPLIT(Raw!E28, "","")"),414.39588688946)</f>
        <v>414.3958869</v>
      </c>
      <c r="B20" s="4">
        <f>IFERROR(__xludf.DUMMYFUNCTION("""COMPUTED_VALUE"""),5.82056892778993)</f>
        <v>5.820568928</v>
      </c>
    </row>
    <row r="21">
      <c r="A21" s="4">
        <f>IFERROR(__xludf.DUMMYFUNCTION("SPLIT(Raw!E29, "","")"),439.074550128534)</f>
        <v>439.0745501</v>
      </c>
      <c r="B21" s="4">
        <f>IFERROR(__xludf.DUMMYFUNCTION("""COMPUTED_VALUE"""),5.03282275711159)</f>
        <v>5.032822757</v>
      </c>
    </row>
    <row r="22">
      <c r="A22" s="4">
        <f>IFERROR(__xludf.DUMMYFUNCTION("SPLIT(Raw!E30, "","")"),462.724935732647)</f>
        <v>462.7249357</v>
      </c>
      <c r="B22" s="4">
        <f>IFERROR(__xludf.DUMMYFUNCTION("""COMPUTED_VALUE"""),3.7199124726477)</f>
        <v>3.719912473</v>
      </c>
    </row>
    <row r="23">
      <c r="A23" s="4">
        <f>IFERROR(__xludf.DUMMYFUNCTION("SPLIT(Raw!E31, "","")"),487.403598971722)</f>
        <v>487.403599</v>
      </c>
      <c r="B23" s="4">
        <f>IFERROR(__xludf.DUMMYFUNCTION("""COMPUTED_VALUE"""),2.66958424507658)</f>
        <v>2.669584245</v>
      </c>
    </row>
    <row r="24">
      <c r="A24" s="4">
        <f>IFERROR(__xludf.DUMMYFUNCTION("SPLIT(Raw!E32, "","")"),525.449871465295)</f>
        <v>525.4498715</v>
      </c>
      <c r="B24" s="4">
        <f>IFERROR(__xludf.DUMMYFUNCTION("""COMPUTED_VALUE"""),2.40700218818381)</f>
        <v>2.407002188</v>
      </c>
    </row>
    <row r="25">
      <c r="A25" s="4">
        <f>IFERROR(__xludf.DUMMYFUNCTION("SPLIT(Raw!E33, "","")"),574.807197943444)</f>
        <v>574.8071979</v>
      </c>
      <c r="B25" s="4">
        <f>IFERROR(__xludf.DUMMYFUNCTION("""COMPUTED_VALUE"""),1.61925601750547)</f>
        <v>1.619256018</v>
      </c>
    </row>
    <row r="26">
      <c r="A26" s="4">
        <f>IFERROR(__xludf.DUMMYFUNCTION("SPLIT(Raw!E34, "","")"),647.814910025706)</f>
        <v>647.81491</v>
      </c>
      <c r="B26" s="4">
        <f>IFERROR(__xludf.DUMMYFUNCTION("""COMPUTED_VALUE"""),0.831509846827135)</f>
        <v>0.8315098468</v>
      </c>
    </row>
    <row r="27">
      <c r="A27" s="4">
        <f>IFERROR(__xludf.DUMMYFUNCTION("SPLIT(Raw!E35, "","")"),749.614395886889)</f>
        <v>749.6143959</v>
      </c>
      <c r="B27" s="4">
        <f>IFERROR(__xludf.DUMMYFUNCTION("""COMPUTED_VALUE"""),1.61925601750547)</f>
        <v>1.619256018</v>
      </c>
    </row>
    <row r="28">
      <c r="A28" s="4">
        <f>IFERROR(__xludf.DUMMYFUNCTION("SPLIT(Raw!E36, "","")"),851.413881748072)</f>
        <v>851.4138817</v>
      </c>
      <c r="B28" s="4">
        <f>IFERROR(__xludf.DUMMYFUNCTION("""COMPUTED_VALUE"""),1.09409190371991)</f>
        <v>1.094091904</v>
      </c>
    </row>
    <row r="29">
      <c r="A29" s="4">
        <f>IFERROR(__xludf.DUMMYFUNCTION("SPLIT(Raw!E37, "","")"),950.12853470437)</f>
        <v>950.1285347</v>
      </c>
      <c r="B29" s="4">
        <f>IFERROR(__xludf.DUMMYFUNCTION("""COMPUTED_VALUE"""),0.831509846827135)</f>
        <v>0.8315098468</v>
      </c>
    </row>
  </sheetData>
  <mergeCells count="1">
    <mergeCell ref="D1:E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561</v>
      </c>
      <c r="B1" s="1" t="s">
        <v>554</v>
      </c>
      <c r="D1" s="2" t="s">
        <v>556</v>
      </c>
      <c r="F1" s="3" t="s">
        <v>554</v>
      </c>
    </row>
    <row r="2">
      <c r="A2" s="4">
        <f>IFERROR(__xludf.DUMMYFUNCTION("SPLIT(Raw!E40, "","")"),27.5)</f>
        <v>27.5</v>
      </c>
      <c r="B2" s="4">
        <f>IFERROR(__xludf.DUMMYFUNCTION("""COMPUTED_VALUE"""),2815.38461538461)</f>
        <v>2815.384615</v>
      </c>
      <c r="D2" s="1">
        <v>25.0</v>
      </c>
      <c r="E2" s="1">
        <v>30.0</v>
      </c>
      <c r="F2" s="4">
        <f t="shared" ref="F2:F14" si="1">round(B2-B15,0)</f>
        <v>2285</v>
      </c>
    </row>
    <row r="3">
      <c r="A3" s="4">
        <f>IFERROR(__xludf.DUMMYFUNCTION("SPLIT(Raw!E41, "","")"),32.5)</f>
        <v>32.5</v>
      </c>
      <c r="B3" s="4">
        <f>IFERROR(__xludf.DUMMYFUNCTION("""COMPUTED_VALUE"""),2753.84615384615)</f>
        <v>2753.846154</v>
      </c>
      <c r="D3" s="1">
        <v>30.0</v>
      </c>
      <c r="E3" s="1">
        <v>35.0</v>
      </c>
      <c r="F3" s="4">
        <f t="shared" si="1"/>
        <v>2331</v>
      </c>
    </row>
    <row r="4">
      <c r="A4" s="4">
        <f>IFERROR(__xludf.DUMMYFUNCTION("SPLIT(Raw!E42, "","")"),37.5)</f>
        <v>37.5</v>
      </c>
      <c r="B4" s="4">
        <f>IFERROR(__xludf.DUMMYFUNCTION("""COMPUTED_VALUE"""),2553.84615384615)</f>
        <v>2553.846154</v>
      </c>
      <c r="D4" s="1">
        <v>35.0</v>
      </c>
      <c r="E4" s="1">
        <v>40.0</v>
      </c>
      <c r="F4" s="4">
        <f t="shared" si="1"/>
        <v>2238</v>
      </c>
    </row>
    <row r="5">
      <c r="A5" s="4">
        <f>IFERROR(__xludf.DUMMYFUNCTION("SPLIT(Raw!E43, "","")"),42.3529411764705)</f>
        <v>42.35294118</v>
      </c>
      <c r="B5" s="4">
        <f>IFERROR(__xludf.DUMMYFUNCTION("""COMPUTED_VALUE"""),2307.6923076923)</f>
        <v>2307.692308</v>
      </c>
      <c r="D5" s="1">
        <v>40.0</v>
      </c>
      <c r="E5" s="1">
        <v>45.0</v>
      </c>
      <c r="F5" s="4">
        <f t="shared" si="1"/>
        <v>2046</v>
      </c>
    </row>
    <row r="6">
      <c r="A6" s="4">
        <f>IFERROR(__xludf.DUMMYFUNCTION("SPLIT(Raw!E44, "","")"),47.3529411764705)</f>
        <v>47.35294118</v>
      </c>
      <c r="B6" s="4">
        <f>IFERROR(__xludf.DUMMYFUNCTION("""COMPUTED_VALUE"""),2076.92307692307)</f>
        <v>2076.923077</v>
      </c>
      <c r="D6" s="1">
        <v>45.0</v>
      </c>
      <c r="E6" s="1">
        <v>50.0</v>
      </c>
      <c r="F6" s="4">
        <f t="shared" si="1"/>
        <v>1846</v>
      </c>
    </row>
    <row r="7">
      <c r="A7" s="4">
        <f>IFERROR(__xludf.DUMMYFUNCTION("SPLIT(Raw!E45, "","")"),52.3529411764705)</f>
        <v>52.35294118</v>
      </c>
      <c r="B7" s="4">
        <f>IFERROR(__xludf.DUMMYFUNCTION("""COMPUTED_VALUE"""),1907.6923076923)</f>
        <v>1907.692308</v>
      </c>
      <c r="D7" s="1">
        <v>50.0</v>
      </c>
      <c r="E7" s="1">
        <v>55.0</v>
      </c>
      <c r="F7" s="4">
        <f t="shared" si="1"/>
        <v>1700</v>
      </c>
    </row>
    <row r="8">
      <c r="A8" s="4">
        <f>IFERROR(__xludf.DUMMYFUNCTION("SPLIT(Raw!E46, "","")"),57.3529411764705)</f>
        <v>57.35294118</v>
      </c>
      <c r="B8" s="4">
        <f>IFERROR(__xludf.DUMMYFUNCTION("""COMPUTED_VALUE"""),1715.38461538461)</f>
        <v>1715.384615</v>
      </c>
      <c r="D8" s="1">
        <v>55.0</v>
      </c>
      <c r="E8" s="1">
        <v>60.0</v>
      </c>
      <c r="F8" s="4">
        <f t="shared" si="1"/>
        <v>1531</v>
      </c>
    </row>
    <row r="9">
      <c r="A9" s="4">
        <f>IFERROR(__xludf.DUMMYFUNCTION("SPLIT(Raw!E47, "","")"),62.3529411764705)</f>
        <v>62.35294118</v>
      </c>
      <c r="B9" s="4">
        <f>IFERROR(__xludf.DUMMYFUNCTION("""COMPUTED_VALUE"""),1546.15384615384)</f>
        <v>1546.153846</v>
      </c>
      <c r="D9" s="1">
        <v>60.0</v>
      </c>
      <c r="E9" s="1">
        <v>65.0</v>
      </c>
      <c r="F9" s="4">
        <f t="shared" si="1"/>
        <v>1385</v>
      </c>
    </row>
    <row r="10">
      <c r="A10" s="4">
        <f>IFERROR(__xludf.DUMMYFUNCTION("SPLIT(Raw!E48, "","")"),67.3529411764706)</f>
        <v>67.35294118</v>
      </c>
      <c r="B10" s="4">
        <f>IFERROR(__xludf.DUMMYFUNCTION("""COMPUTED_VALUE"""),1369.23076923076)</f>
        <v>1369.230769</v>
      </c>
      <c r="D10" s="1">
        <v>65.0</v>
      </c>
      <c r="E10" s="1">
        <v>70.0</v>
      </c>
      <c r="F10" s="4">
        <f t="shared" si="1"/>
        <v>1223</v>
      </c>
    </row>
    <row r="11">
      <c r="A11" s="4">
        <f>IFERROR(__xludf.DUMMYFUNCTION("SPLIT(Raw!E49, "","")"),74.8529411764705)</f>
        <v>74.85294118</v>
      </c>
      <c r="B11" s="4">
        <f>IFERROR(__xludf.DUMMYFUNCTION("""COMPUTED_VALUE"""),1115.38461538461)</f>
        <v>1115.384615</v>
      </c>
      <c r="D11" s="1">
        <v>70.0</v>
      </c>
      <c r="E11" s="1">
        <v>80.0</v>
      </c>
      <c r="F11" s="4">
        <f t="shared" si="1"/>
        <v>992</v>
      </c>
    </row>
    <row r="12">
      <c r="A12" s="4">
        <f>IFERROR(__xludf.DUMMYFUNCTION("SPLIT(Raw!E50, "","")"),84.8529411764705)</f>
        <v>84.85294118</v>
      </c>
      <c r="B12" s="4">
        <f>IFERROR(__xludf.DUMMYFUNCTION("""COMPUTED_VALUE"""),838.461538461538)</f>
        <v>838.4615385</v>
      </c>
      <c r="D12" s="1">
        <v>80.0</v>
      </c>
      <c r="E12" s="1">
        <v>90.0</v>
      </c>
      <c r="F12" s="4">
        <f t="shared" si="1"/>
        <v>746</v>
      </c>
    </row>
    <row r="13">
      <c r="A13" s="4">
        <f>IFERROR(__xludf.DUMMYFUNCTION("SPLIT(Raw!E51, "","")"),95.0)</f>
        <v>95</v>
      </c>
      <c r="B13" s="4">
        <f>IFERROR(__xludf.DUMMYFUNCTION("""COMPUTED_VALUE"""),630.76923076923)</f>
        <v>630.7692308</v>
      </c>
      <c r="D13" s="1">
        <v>90.0</v>
      </c>
      <c r="E13" s="1">
        <v>100.0</v>
      </c>
      <c r="F13" s="4">
        <f t="shared" si="1"/>
        <v>554</v>
      </c>
    </row>
    <row r="14">
      <c r="A14" s="4">
        <f>IFERROR(__xludf.DUMMYFUNCTION("SPLIT(Raw!E52, "","")"),112.5)</f>
        <v>112.5</v>
      </c>
      <c r="B14" s="4">
        <f>IFERROR(__xludf.DUMMYFUNCTION("""COMPUTED_VALUE"""),800.0)</f>
        <v>800</v>
      </c>
      <c r="D14" s="1">
        <v>100.0</v>
      </c>
      <c r="E14" s="1">
        <v>125.0</v>
      </c>
      <c r="F14" s="4">
        <f t="shared" si="1"/>
        <v>700</v>
      </c>
    </row>
    <row r="15">
      <c r="A15" s="4">
        <f>IFERROR(__xludf.DUMMYFUNCTION("SPLIT(Raw!E53, "","")"),27.2058823529411)</f>
        <v>27.20588235</v>
      </c>
      <c r="B15" s="4">
        <f>IFERROR(__xludf.DUMMYFUNCTION("""COMPUTED_VALUE"""),530.76923076923)</f>
        <v>530.7692308</v>
      </c>
    </row>
    <row r="16">
      <c r="A16" s="4">
        <f>IFERROR(__xludf.DUMMYFUNCTION("SPLIT(Raw!E54, "","")"),32.3529411764705)</f>
        <v>32.35294118</v>
      </c>
      <c r="B16" s="4">
        <f>IFERROR(__xludf.DUMMYFUNCTION("""COMPUTED_VALUE"""),423.076923076923)</f>
        <v>423.0769231</v>
      </c>
    </row>
    <row r="17">
      <c r="A17" s="4">
        <f>IFERROR(__xludf.DUMMYFUNCTION("SPLIT(Raw!E55, "","")"),37.5)</f>
        <v>37.5</v>
      </c>
      <c r="B17" s="4">
        <f>IFERROR(__xludf.DUMMYFUNCTION("""COMPUTED_VALUE"""),315.384615384615)</f>
        <v>315.3846154</v>
      </c>
    </row>
    <row r="18">
      <c r="A18" s="4">
        <f>IFERROR(__xludf.DUMMYFUNCTION("SPLIT(Raw!E56, "","")"),42.3529411764705)</f>
        <v>42.35294118</v>
      </c>
      <c r="B18" s="4">
        <f>IFERROR(__xludf.DUMMYFUNCTION("""COMPUTED_VALUE"""),261.538461538461)</f>
        <v>261.5384615</v>
      </c>
    </row>
    <row r="19">
      <c r="A19" s="4">
        <f>IFERROR(__xludf.DUMMYFUNCTION("SPLIT(Raw!E57, "","")"),47.3529411764705)</f>
        <v>47.35294118</v>
      </c>
      <c r="B19" s="4">
        <f>IFERROR(__xludf.DUMMYFUNCTION("""COMPUTED_VALUE"""),230.76923076923)</f>
        <v>230.7692308</v>
      </c>
    </row>
    <row r="20">
      <c r="A20" s="4">
        <f>IFERROR(__xludf.DUMMYFUNCTION("SPLIT(Raw!E58, "","")"),52.3529411764705)</f>
        <v>52.35294118</v>
      </c>
      <c r="B20" s="4">
        <f>IFERROR(__xludf.DUMMYFUNCTION("""COMPUTED_VALUE"""),207.692307692307)</f>
        <v>207.6923077</v>
      </c>
    </row>
    <row r="21">
      <c r="A21" s="4">
        <f>IFERROR(__xludf.DUMMYFUNCTION("SPLIT(Raw!E59, "","")"),57.3529411764705)</f>
        <v>57.35294118</v>
      </c>
      <c r="B21" s="4">
        <f>IFERROR(__xludf.DUMMYFUNCTION("""COMPUTED_VALUE"""),184.615384615384)</f>
        <v>184.6153846</v>
      </c>
    </row>
    <row r="22">
      <c r="A22" s="4">
        <f>IFERROR(__xludf.DUMMYFUNCTION("SPLIT(Raw!E60, "","")"),62.3529411764705)</f>
        <v>62.35294118</v>
      </c>
      <c r="B22" s="4">
        <f>IFERROR(__xludf.DUMMYFUNCTION("""COMPUTED_VALUE"""),161.538461538461)</f>
        <v>161.5384615</v>
      </c>
    </row>
    <row r="23">
      <c r="A23" s="4">
        <f>IFERROR(__xludf.DUMMYFUNCTION("SPLIT(Raw!E61, "","")"),67.5)</f>
        <v>67.5</v>
      </c>
      <c r="B23" s="4">
        <f>IFERROR(__xludf.DUMMYFUNCTION("""COMPUTED_VALUE"""),146.153846153846)</f>
        <v>146.1538462</v>
      </c>
    </row>
    <row r="24">
      <c r="A24" s="4">
        <f>IFERROR(__xludf.DUMMYFUNCTION("SPLIT(Raw!E62, "","")"),74.8529411764705)</f>
        <v>74.85294118</v>
      </c>
      <c r="B24" s="4">
        <f>IFERROR(__xludf.DUMMYFUNCTION("""COMPUTED_VALUE"""),123.076923076923)</f>
        <v>123.0769231</v>
      </c>
    </row>
    <row r="25">
      <c r="A25" s="4">
        <f>IFERROR(__xludf.DUMMYFUNCTION("SPLIT(Raw!E63, "","")"),84.8529411764705)</f>
        <v>84.85294118</v>
      </c>
      <c r="B25" s="4">
        <f>IFERROR(__xludf.DUMMYFUNCTION("""COMPUTED_VALUE"""),92.3076923076923)</f>
        <v>92.30769231</v>
      </c>
    </row>
    <row r="26">
      <c r="A26" s="4">
        <f>IFERROR(__xludf.DUMMYFUNCTION("SPLIT(Raw!E64, "","")"),95.0)</f>
        <v>95</v>
      </c>
      <c r="B26" s="4">
        <f>IFERROR(__xludf.DUMMYFUNCTION("""COMPUTED_VALUE"""),76.9230769230769)</f>
        <v>76.92307692</v>
      </c>
    </row>
    <row r="27">
      <c r="A27" s="4">
        <f>IFERROR(__xludf.DUMMYFUNCTION("SPLIT(Raw!E65, "","")"),112.5)</f>
        <v>112.5</v>
      </c>
      <c r="B27" s="4">
        <f>IFERROR(__xludf.DUMMYFUNCTION("""COMPUTED_VALUE"""),100.0)</f>
        <v>100</v>
      </c>
    </row>
  </sheetData>
  <mergeCells count="1">
    <mergeCell ref="D1:E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553</v>
      </c>
      <c r="B1" s="1" t="s">
        <v>554</v>
      </c>
      <c r="D1" s="2" t="s">
        <v>556</v>
      </c>
      <c r="F1" s="3" t="s">
        <v>554</v>
      </c>
    </row>
    <row r="2">
      <c r="A2" s="4">
        <f>IFERROR(__xludf.DUMMYFUNCTION("split(Raw!E68, "","")"),3.07917888563049)</f>
        <v>3.079178886</v>
      </c>
      <c r="B2" s="4">
        <f>IFERROR(__xludf.DUMMYFUNCTION("""COMPUTED_VALUE"""),192.671394799054)</f>
        <v>192.6713948</v>
      </c>
      <c r="D2" s="1">
        <v>0.0</v>
      </c>
      <c r="E2" s="1">
        <v>5.0</v>
      </c>
      <c r="F2" s="4">
        <f t="shared" ref="F2:F41" si="1">round(B2-B42,0)</f>
        <v>142</v>
      </c>
    </row>
    <row r="3">
      <c r="A3" s="4">
        <f>IFERROR(__xludf.DUMMYFUNCTION("split(Raw!E69, "","")"),7.77126099706744)</f>
        <v>7.771260997</v>
      </c>
      <c r="B3" s="4">
        <f>IFERROR(__xludf.DUMMYFUNCTION("""COMPUTED_VALUE"""),561.465721040189)</f>
        <v>561.465721</v>
      </c>
      <c r="D3" s="1">
        <v>5.0</v>
      </c>
      <c r="E3" s="1">
        <v>10.0</v>
      </c>
      <c r="F3" s="4">
        <f t="shared" si="1"/>
        <v>426</v>
      </c>
    </row>
    <row r="4">
      <c r="A4" s="4">
        <f>IFERROR(__xludf.DUMMYFUNCTION("split(Raw!E70, "","")"),12.7565982404692)</f>
        <v>12.75659824</v>
      </c>
      <c r="B4" s="4">
        <f>IFERROR(__xludf.DUMMYFUNCTION("""COMPUTED_VALUE"""),887.706855791962)</f>
        <v>887.7068558</v>
      </c>
      <c r="D4" s="1">
        <v>10.0</v>
      </c>
      <c r="E4" s="1">
        <v>15.0</v>
      </c>
      <c r="F4" s="4">
        <f t="shared" si="1"/>
        <v>695</v>
      </c>
    </row>
    <row r="5">
      <c r="A5" s="4">
        <f>IFERROR(__xludf.DUMMYFUNCTION("split(Raw!E71, "","")"),17.7419354838709)</f>
        <v>17.74193548</v>
      </c>
      <c r="B5" s="4">
        <f>IFERROR(__xludf.DUMMYFUNCTION("""COMPUTED_VALUE"""),1190.3073286052)</f>
        <v>1190.307329</v>
      </c>
      <c r="D5" s="1">
        <v>15.0</v>
      </c>
      <c r="E5" s="1">
        <v>20.0</v>
      </c>
      <c r="F5" s="4">
        <f t="shared" si="1"/>
        <v>936</v>
      </c>
    </row>
    <row r="6">
      <c r="A6" s="4">
        <f>IFERROR(__xludf.DUMMYFUNCTION("split(Raw!E72, "","")"),22.7272727272727)</f>
        <v>22.72727273</v>
      </c>
      <c r="B6" s="4">
        <f>IFERROR(__xludf.DUMMYFUNCTION("""COMPUTED_VALUE"""),1421.98581560283)</f>
        <v>1421.985816</v>
      </c>
      <c r="D6" s="1">
        <v>20.0</v>
      </c>
      <c r="E6" s="1">
        <v>25.0</v>
      </c>
      <c r="F6" s="4">
        <f t="shared" si="1"/>
        <v>1149</v>
      </c>
    </row>
    <row r="7">
      <c r="A7" s="4">
        <f>IFERROR(__xludf.DUMMYFUNCTION("split(Raw!E73, "","")"),28.0058651026392)</f>
        <v>28.0058651</v>
      </c>
      <c r="B7" s="4">
        <f>IFERROR(__xludf.DUMMYFUNCTION("""COMPUTED_VALUE"""),1587.47044917257)</f>
        <v>1587.470449</v>
      </c>
      <c r="D7" s="1">
        <v>25.0</v>
      </c>
      <c r="E7" s="1">
        <v>30.0</v>
      </c>
      <c r="F7" s="4">
        <f t="shared" si="1"/>
        <v>1319</v>
      </c>
    </row>
    <row r="8">
      <c r="A8" s="4">
        <f>IFERROR(__xludf.DUMMYFUNCTION("split(Raw!E74, "","")"),32.6979472140762)</f>
        <v>32.69794721</v>
      </c>
      <c r="B8" s="4">
        <f>IFERROR(__xludf.DUMMYFUNCTION("""COMPUTED_VALUE"""),1677.304964539)</f>
        <v>1677.304965</v>
      </c>
      <c r="D8" s="1">
        <v>30.0</v>
      </c>
      <c r="E8" s="1">
        <v>35.0</v>
      </c>
      <c r="F8" s="4">
        <f t="shared" si="1"/>
        <v>1428</v>
      </c>
    </row>
    <row r="9">
      <c r="A9" s="4">
        <f>IFERROR(__xludf.DUMMYFUNCTION("split(Raw!E75, "","")"),37.683284457478)</f>
        <v>37.68328446</v>
      </c>
      <c r="B9" s="4">
        <f>IFERROR(__xludf.DUMMYFUNCTION("""COMPUTED_VALUE"""),1748.22695035461)</f>
        <v>1748.22695</v>
      </c>
      <c r="D9" s="1">
        <v>35.0</v>
      </c>
      <c r="E9" s="1">
        <v>40.0</v>
      </c>
      <c r="F9" s="4">
        <f t="shared" si="1"/>
        <v>1504</v>
      </c>
    </row>
    <row r="10">
      <c r="A10" s="4">
        <f>IFERROR(__xludf.DUMMYFUNCTION("split(Raw!E76, "","")"),42.6686217008797)</f>
        <v>42.6686217</v>
      </c>
      <c r="B10" s="4">
        <f>IFERROR(__xludf.DUMMYFUNCTION("""COMPUTED_VALUE"""),1734.04255319148)</f>
        <v>1734.042553</v>
      </c>
      <c r="D10" s="1">
        <v>40.0</v>
      </c>
      <c r="E10" s="1">
        <v>45.0</v>
      </c>
      <c r="F10" s="4">
        <f t="shared" si="1"/>
        <v>1513</v>
      </c>
    </row>
    <row r="11">
      <c r="A11" s="4">
        <f>IFERROR(__xludf.DUMMYFUNCTION("split(Raw!E77, "","")"),47.9472140762463)</f>
        <v>47.94721408</v>
      </c>
      <c r="B11" s="4">
        <f>IFERROR(__xludf.DUMMYFUNCTION("""COMPUTED_VALUE"""),1686.76122931442)</f>
        <v>1686.761229</v>
      </c>
      <c r="D11" s="1">
        <v>45.0</v>
      </c>
      <c r="E11" s="1">
        <v>50.0</v>
      </c>
      <c r="F11" s="4">
        <f t="shared" si="1"/>
        <v>1499</v>
      </c>
    </row>
    <row r="12">
      <c r="A12" s="4">
        <f>IFERROR(__xludf.DUMMYFUNCTION("split(Raw!E78, "","")"),52.6392961876832)</f>
        <v>52.63929619</v>
      </c>
      <c r="B12" s="4">
        <f>IFERROR(__xludf.DUMMYFUNCTION("""COMPUTED_VALUE"""),1634.75177304964)</f>
        <v>1634.751773</v>
      </c>
      <c r="D12" s="1">
        <v>50.0</v>
      </c>
      <c r="E12" s="1">
        <v>55.0</v>
      </c>
      <c r="F12" s="4">
        <f t="shared" si="1"/>
        <v>1452</v>
      </c>
    </row>
    <row r="13">
      <c r="A13" s="4">
        <f>IFERROR(__xludf.DUMMYFUNCTION("split(Raw!E79, "","")"),57.624633431085)</f>
        <v>57.62463343</v>
      </c>
      <c r="B13" s="4">
        <f>IFERROR(__xludf.DUMMYFUNCTION("""COMPUTED_VALUE"""),1521.27659574468)</f>
        <v>1521.276596</v>
      </c>
      <c r="D13" s="1">
        <v>55.0</v>
      </c>
      <c r="E13" s="1">
        <v>60.0</v>
      </c>
      <c r="F13" s="4">
        <f t="shared" si="1"/>
        <v>1371</v>
      </c>
    </row>
    <row r="14">
      <c r="A14" s="4">
        <f>IFERROR(__xludf.DUMMYFUNCTION("split(Raw!E80, "","")"),62.6099706744868)</f>
        <v>62.60997067</v>
      </c>
      <c r="B14" s="4">
        <f>IFERROR(__xludf.DUMMYFUNCTION("""COMPUTED_VALUE"""),1398.3451536643)</f>
        <v>1398.345154</v>
      </c>
      <c r="D14" s="1">
        <v>60.0</v>
      </c>
      <c r="E14" s="1">
        <v>65.0</v>
      </c>
      <c r="F14" s="4">
        <f t="shared" si="1"/>
        <v>1262</v>
      </c>
    </row>
    <row r="15">
      <c r="A15" s="4">
        <f>IFERROR(__xludf.DUMMYFUNCTION("split(Raw!E81, "","")"),67.5953079178885)</f>
        <v>67.59530792</v>
      </c>
      <c r="B15" s="4">
        <f>IFERROR(__xludf.DUMMYFUNCTION("""COMPUTED_VALUE"""),1270.68557919621)</f>
        <v>1270.685579</v>
      </c>
      <c r="D15" s="1">
        <v>65.0</v>
      </c>
      <c r="E15" s="1">
        <v>70.0</v>
      </c>
      <c r="F15" s="4">
        <f t="shared" si="1"/>
        <v>1154</v>
      </c>
    </row>
    <row r="16">
      <c r="A16" s="4">
        <f>IFERROR(__xludf.DUMMYFUNCTION("split(Raw!E82, "","")"),72.5806451612903)</f>
        <v>72.58064516</v>
      </c>
      <c r="B16" s="4">
        <f>IFERROR(__xludf.DUMMYFUNCTION("""COMPUTED_VALUE"""),1143.02600472813)</f>
        <v>1143.026005</v>
      </c>
      <c r="D16" s="1">
        <v>70.0</v>
      </c>
      <c r="E16" s="1">
        <v>75.0</v>
      </c>
      <c r="F16" s="4">
        <f t="shared" si="1"/>
        <v>1040</v>
      </c>
    </row>
    <row r="17">
      <c r="A17" s="4">
        <f>IFERROR(__xludf.DUMMYFUNCTION("split(Raw!E83, "","")"),77.2727272727272)</f>
        <v>77.27272727</v>
      </c>
      <c r="B17" s="4">
        <f>IFERROR(__xludf.DUMMYFUNCTION("""COMPUTED_VALUE"""),1020.09456264775)</f>
        <v>1020.094563</v>
      </c>
      <c r="D17" s="1">
        <v>75.0</v>
      </c>
      <c r="E17" s="1">
        <v>80.0</v>
      </c>
      <c r="F17" s="4">
        <f t="shared" si="1"/>
        <v>922</v>
      </c>
    </row>
    <row r="18">
      <c r="A18" s="4">
        <f>IFERROR(__xludf.DUMMYFUNCTION("split(Raw!E84, "","")"),82.5513196480938)</f>
        <v>82.55131965</v>
      </c>
      <c r="B18" s="4">
        <f>IFERROR(__xludf.DUMMYFUNCTION("""COMPUTED_VALUE"""),901.891252955082)</f>
        <v>901.891253</v>
      </c>
      <c r="D18" s="1">
        <v>80.0</v>
      </c>
      <c r="E18" s="1">
        <v>85.0</v>
      </c>
      <c r="F18" s="4">
        <f t="shared" si="1"/>
        <v>823</v>
      </c>
    </row>
    <row r="19">
      <c r="A19" s="4">
        <f>IFERROR(__xludf.DUMMYFUNCTION("split(Raw!E85, "","")"),87.5366568914956)</f>
        <v>87.53665689</v>
      </c>
      <c r="B19" s="4">
        <f>IFERROR(__xludf.DUMMYFUNCTION("""COMPUTED_VALUE"""),797.872340425531)</f>
        <v>797.8723404</v>
      </c>
      <c r="D19" s="1">
        <v>85.0</v>
      </c>
      <c r="E19" s="1">
        <v>90.0</v>
      </c>
      <c r="F19" s="4">
        <f t="shared" si="1"/>
        <v>728</v>
      </c>
    </row>
    <row r="20">
      <c r="A20" s="4">
        <f>IFERROR(__xludf.DUMMYFUNCTION("split(Raw!E86, "","")"),92.5219941348973)</f>
        <v>92.52199413</v>
      </c>
      <c r="B20" s="4">
        <f>IFERROR(__xludf.DUMMYFUNCTION("""COMPUTED_VALUE"""),708.037825059101)</f>
        <v>708.0378251</v>
      </c>
      <c r="D20" s="1">
        <v>90.0</v>
      </c>
      <c r="E20" s="1">
        <v>95.0</v>
      </c>
      <c r="F20" s="4">
        <f t="shared" si="1"/>
        <v>648</v>
      </c>
    </row>
    <row r="21">
      <c r="A21" s="4">
        <f>IFERROR(__xludf.DUMMYFUNCTION("split(Raw!E87, "","")"),97.5073313782991)</f>
        <v>97.50733138</v>
      </c>
      <c r="B21" s="4">
        <f>IFERROR(__xludf.DUMMYFUNCTION("""COMPUTED_VALUE"""),613.475177304964)</f>
        <v>613.4751773</v>
      </c>
      <c r="D21" s="1">
        <v>95.0</v>
      </c>
      <c r="E21" s="1">
        <v>100.0</v>
      </c>
      <c r="F21" s="4">
        <f t="shared" si="1"/>
        <v>563</v>
      </c>
    </row>
    <row r="22">
      <c r="A22" s="4">
        <f>IFERROR(__xludf.DUMMYFUNCTION("split(Raw!E88, "","")"),102.4926686217)</f>
        <v>102.4926686</v>
      </c>
      <c r="B22" s="4">
        <f>IFERROR(__xludf.DUMMYFUNCTION("""COMPUTED_VALUE"""),537.825059101654)</f>
        <v>537.8250591</v>
      </c>
      <c r="D22" s="1">
        <v>100.0</v>
      </c>
      <c r="E22" s="1">
        <v>105.0</v>
      </c>
      <c r="F22" s="4">
        <f t="shared" si="1"/>
        <v>492</v>
      </c>
    </row>
    <row r="23">
      <c r="A23" s="4">
        <f>IFERROR(__xludf.DUMMYFUNCTION("split(Raw!E89, "","")"),107.478005865102)</f>
        <v>107.4780059</v>
      </c>
      <c r="B23" s="4">
        <f>IFERROR(__xludf.DUMMYFUNCTION("""COMPUTED_VALUE"""),471.631205673758)</f>
        <v>471.6312057</v>
      </c>
      <c r="D23" s="1">
        <v>105.0</v>
      </c>
      <c r="E23" s="1">
        <v>110.0</v>
      </c>
      <c r="F23" s="4">
        <f t="shared" si="1"/>
        <v>435</v>
      </c>
    </row>
    <row r="24">
      <c r="A24" s="4">
        <f>IFERROR(__xludf.DUMMYFUNCTION("split(Raw!E90, "","")"),112.756598240469)</f>
        <v>112.7565982</v>
      </c>
      <c r="B24" s="4">
        <f>IFERROR(__xludf.DUMMYFUNCTION("""COMPUTED_VALUE"""),419.621749408983)</f>
        <v>419.6217494</v>
      </c>
      <c r="D24" s="1">
        <v>110.0</v>
      </c>
      <c r="E24" s="1">
        <v>115.0</v>
      </c>
      <c r="F24" s="4">
        <f t="shared" si="1"/>
        <v>383</v>
      </c>
    </row>
    <row r="25">
      <c r="A25" s="4">
        <f>IFERROR(__xludf.DUMMYFUNCTION("split(Raw!E91, "","")"),117.74193548387)</f>
        <v>117.7419355</v>
      </c>
      <c r="B25" s="4">
        <f>IFERROR(__xludf.DUMMYFUNCTION("""COMPUTED_VALUE"""),358.156028368794)</f>
        <v>358.1560284</v>
      </c>
      <c r="D25" s="1">
        <v>115.0</v>
      </c>
      <c r="E25" s="1">
        <v>120.0</v>
      </c>
      <c r="F25" s="4">
        <f t="shared" si="1"/>
        <v>326</v>
      </c>
    </row>
    <row r="26">
      <c r="A26" s="4">
        <f>IFERROR(__xludf.DUMMYFUNCTION("split(Raw!E92, "","")"),122.727272727272)</f>
        <v>122.7272727</v>
      </c>
      <c r="B26" s="4">
        <f>IFERROR(__xludf.DUMMYFUNCTION("""COMPUTED_VALUE"""),315.602836879432)</f>
        <v>315.6028369</v>
      </c>
      <c r="D26" s="1">
        <v>120.0</v>
      </c>
      <c r="E26" s="1">
        <v>125.0</v>
      </c>
      <c r="F26" s="4">
        <f t="shared" si="1"/>
        <v>293</v>
      </c>
    </row>
    <row r="27">
      <c r="A27" s="4">
        <f>IFERROR(__xludf.DUMMYFUNCTION("split(Raw!E93, "","")"),127.419354838709)</f>
        <v>127.4193548</v>
      </c>
      <c r="B27" s="4">
        <f>IFERROR(__xludf.DUMMYFUNCTION("""COMPUTED_VALUE"""),273.04964539007)</f>
        <v>273.0496454</v>
      </c>
      <c r="D27" s="1">
        <v>125.0</v>
      </c>
      <c r="E27" s="1">
        <v>130.0</v>
      </c>
      <c r="F27" s="4">
        <f t="shared" si="1"/>
        <v>251</v>
      </c>
    </row>
    <row r="28">
      <c r="A28" s="4">
        <f>IFERROR(__xludf.DUMMYFUNCTION("split(Raw!E94, "","")"),132.697947214076)</f>
        <v>132.6979472</v>
      </c>
      <c r="B28" s="4">
        <f>IFERROR(__xludf.DUMMYFUNCTION("""COMPUTED_VALUE"""),244.680851063829)</f>
        <v>244.6808511</v>
      </c>
      <c r="D28" s="1">
        <v>130.0</v>
      </c>
      <c r="E28" s="1">
        <v>135.0</v>
      </c>
      <c r="F28" s="4">
        <f t="shared" si="1"/>
        <v>222</v>
      </c>
    </row>
    <row r="29">
      <c r="A29" s="4">
        <f>IFERROR(__xludf.DUMMYFUNCTION("split(Raw!E95, "","")"),137.390029325513)</f>
        <v>137.3900293</v>
      </c>
      <c r="B29" s="4">
        <f>IFERROR(__xludf.DUMMYFUNCTION("""COMPUTED_VALUE"""),211.583924349881)</f>
        <v>211.5839243</v>
      </c>
      <c r="D29" s="1">
        <v>135.0</v>
      </c>
      <c r="E29" s="1">
        <v>140.0</v>
      </c>
      <c r="F29" s="4">
        <f t="shared" si="1"/>
        <v>194</v>
      </c>
    </row>
    <row r="30">
      <c r="A30" s="4">
        <f>IFERROR(__xludf.DUMMYFUNCTION("split(Raw!E96, "","")"),142.668621700879)</f>
        <v>142.6686217</v>
      </c>
      <c r="B30" s="4">
        <f>IFERROR(__xludf.DUMMYFUNCTION("""COMPUTED_VALUE"""),187.943262411347)</f>
        <v>187.9432624</v>
      </c>
      <c r="D30" s="1">
        <v>140.0</v>
      </c>
      <c r="E30" s="1">
        <v>145.0</v>
      </c>
      <c r="F30" s="4">
        <f t="shared" si="1"/>
        <v>170</v>
      </c>
    </row>
    <row r="31">
      <c r="A31" s="4">
        <f>IFERROR(__xludf.DUMMYFUNCTION("split(Raw!E97, "","")"),147.653958944281)</f>
        <v>147.6539589</v>
      </c>
      <c r="B31" s="4">
        <f>IFERROR(__xludf.DUMMYFUNCTION("""COMPUTED_VALUE"""),164.302600472813)</f>
        <v>164.3026005</v>
      </c>
      <c r="D31" s="1">
        <v>145.0</v>
      </c>
      <c r="E31" s="1">
        <v>150.0</v>
      </c>
      <c r="F31" s="4">
        <f t="shared" si="1"/>
        <v>151</v>
      </c>
    </row>
    <row r="32">
      <c r="A32" s="4">
        <f>IFERROR(__xludf.DUMMYFUNCTION("split(Raw!E98, "","")"),152.346041055718)</f>
        <v>152.3460411</v>
      </c>
      <c r="B32" s="4">
        <f>IFERROR(__xludf.DUMMYFUNCTION("""COMPUTED_VALUE"""),187.943262411347)</f>
        <v>187.9432624</v>
      </c>
      <c r="D32" s="1">
        <v>150.0</v>
      </c>
      <c r="E32" s="1">
        <v>155.0</v>
      </c>
      <c r="F32" s="4">
        <f t="shared" si="1"/>
        <v>137</v>
      </c>
    </row>
    <row r="33">
      <c r="A33" s="4">
        <f>IFERROR(__xludf.DUMMYFUNCTION("split(Raw!E99, "","")"),157.33137829912)</f>
        <v>157.3313783</v>
      </c>
      <c r="B33" s="4">
        <f>IFERROR(__xludf.DUMMYFUNCTION("""COMPUTED_VALUE"""),131.205673758865)</f>
        <v>131.2056738</v>
      </c>
      <c r="D33" s="1">
        <v>155.0</v>
      </c>
      <c r="E33" s="1">
        <v>160.0</v>
      </c>
      <c r="F33" s="4">
        <f t="shared" si="1"/>
        <v>123</v>
      </c>
    </row>
    <row r="34">
      <c r="A34" s="4">
        <f>IFERROR(__xludf.DUMMYFUNCTION("split(Raw!E100, "","")"),162.316715542522)</f>
        <v>162.3167155</v>
      </c>
      <c r="B34" s="4">
        <f>IFERROR(__xludf.DUMMYFUNCTION("""COMPUTED_VALUE"""),112.293144208037)</f>
        <v>112.2931442</v>
      </c>
      <c r="D34" s="1">
        <v>160.0</v>
      </c>
      <c r="E34" s="1">
        <v>165.0</v>
      </c>
      <c r="F34" s="4">
        <f t="shared" si="1"/>
        <v>104</v>
      </c>
    </row>
    <row r="35">
      <c r="A35" s="4">
        <f>IFERROR(__xludf.DUMMYFUNCTION("split(Raw!E101, "","")"),167.302052785923)</f>
        <v>167.3020528</v>
      </c>
      <c r="B35" s="4">
        <f>IFERROR(__xludf.DUMMYFUNCTION("""COMPUTED_VALUE"""),98.1087470449172)</f>
        <v>98.10874704</v>
      </c>
      <c r="D35" s="1">
        <v>165.0</v>
      </c>
      <c r="E35" s="1">
        <v>170.0</v>
      </c>
      <c r="F35" s="4">
        <f t="shared" si="1"/>
        <v>90</v>
      </c>
    </row>
    <row r="36">
      <c r="A36" s="4">
        <f>IFERROR(__xludf.DUMMYFUNCTION("split(Raw!E102, "","")"),172.58064516129)</f>
        <v>172.5806452</v>
      </c>
      <c r="B36" s="4">
        <f>IFERROR(__xludf.DUMMYFUNCTION("""COMPUTED_VALUE"""),83.9243498817967)</f>
        <v>83.92434988</v>
      </c>
      <c r="D36" s="1">
        <v>170.0</v>
      </c>
      <c r="E36" s="1">
        <v>175.0</v>
      </c>
      <c r="F36" s="4">
        <f t="shared" si="1"/>
        <v>76</v>
      </c>
    </row>
    <row r="37">
      <c r="A37" s="4">
        <f>IFERROR(__xludf.DUMMYFUNCTION("split(Raw!E103, "","")"),177.565982404692)</f>
        <v>177.5659824</v>
      </c>
      <c r="B37" s="4">
        <f>IFERROR(__xludf.DUMMYFUNCTION("""COMPUTED_VALUE"""),74.468085106383)</f>
        <v>74.46808511</v>
      </c>
      <c r="D37" s="1">
        <v>175.0</v>
      </c>
      <c r="E37" s="1">
        <v>180.0</v>
      </c>
      <c r="F37" s="4">
        <f t="shared" si="1"/>
        <v>71</v>
      </c>
    </row>
    <row r="38">
      <c r="A38" s="4">
        <f>IFERROR(__xludf.DUMMYFUNCTION("split(Raw!E104, "","")"),182.551319648093)</f>
        <v>182.5513196</v>
      </c>
      <c r="B38" s="4">
        <f>IFERROR(__xludf.DUMMYFUNCTION("""COMPUTED_VALUE"""),74.468085106383)</f>
        <v>74.46808511</v>
      </c>
      <c r="D38" s="1">
        <v>180.0</v>
      </c>
      <c r="E38" s="1">
        <v>185.0</v>
      </c>
      <c r="F38" s="4">
        <f t="shared" si="1"/>
        <v>66</v>
      </c>
    </row>
    <row r="39">
      <c r="A39" s="4">
        <f>IFERROR(__xludf.DUMMYFUNCTION("split(Raw!E105, "","")"),187.24340175953)</f>
        <v>187.2434018</v>
      </c>
      <c r="B39" s="4">
        <f>IFERROR(__xludf.DUMMYFUNCTION("""COMPUTED_VALUE"""),60.2836879432624)</f>
        <v>60.28368794</v>
      </c>
      <c r="D39" s="1">
        <v>185.0</v>
      </c>
      <c r="E39" s="1">
        <v>190.0</v>
      </c>
      <c r="F39" s="4">
        <f t="shared" si="1"/>
        <v>52</v>
      </c>
    </row>
    <row r="40">
      <c r="A40" s="4">
        <f>IFERROR(__xludf.DUMMYFUNCTION("split(Raw!E106, "","")"),192.521994134897)</f>
        <v>192.5219941</v>
      </c>
      <c r="B40" s="4">
        <f>IFERROR(__xludf.DUMMYFUNCTION("""COMPUTED_VALUE"""),55.5555555555556)</f>
        <v>55.55555556</v>
      </c>
      <c r="D40" s="1">
        <v>190.0</v>
      </c>
      <c r="E40" s="1">
        <v>195.0</v>
      </c>
      <c r="F40" s="4">
        <f t="shared" si="1"/>
        <v>47</v>
      </c>
    </row>
    <row r="41">
      <c r="A41" s="4">
        <f>IFERROR(__xludf.DUMMYFUNCTION("split(Raw!E107, "","")"),197.214076246334)</f>
        <v>197.2140762</v>
      </c>
      <c r="B41" s="4">
        <f>IFERROR(__xludf.DUMMYFUNCTION("""COMPUTED_VALUE"""),547.281323877068)</f>
        <v>547.2813239</v>
      </c>
      <c r="D41" s="1">
        <v>195.0</v>
      </c>
      <c r="E41" s="1">
        <v>200.0</v>
      </c>
      <c r="F41" s="4">
        <f t="shared" si="1"/>
        <v>487</v>
      </c>
    </row>
    <row r="42">
      <c r="A42" s="4">
        <f>IFERROR(__xludf.DUMMYFUNCTION("split(Raw!E108, "","")"),2.78592375366568)</f>
        <v>2.785923754</v>
      </c>
      <c r="B42" s="4">
        <f>IFERROR(__xludf.DUMMYFUNCTION("""COMPUTED_VALUE"""),50.8274231678487)</f>
        <v>50.82742317</v>
      </c>
    </row>
    <row r="43">
      <c r="A43" s="4">
        <f>IFERROR(__xludf.DUMMYFUNCTION("split(Raw!E109, "","")"),7.77126099706744)</f>
        <v>7.771260997</v>
      </c>
      <c r="B43" s="4">
        <f>IFERROR(__xludf.DUMMYFUNCTION("""COMPUTED_VALUE"""),135.933806146572)</f>
        <v>135.9338061</v>
      </c>
    </row>
    <row r="44">
      <c r="A44" s="4">
        <f>IFERROR(__xludf.DUMMYFUNCTION("split(Raw!E110, "","")"),12.7565982404692)</f>
        <v>12.75659824</v>
      </c>
      <c r="B44" s="4">
        <f>IFERROR(__xludf.DUMMYFUNCTION("""COMPUTED_VALUE"""),192.671394799054)</f>
        <v>192.6713948</v>
      </c>
    </row>
    <row r="45">
      <c r="A45" s="4">
        <f>IFERROR(__xludf.DUMMYFUNCTION("split(Raw!E111, "","")"),17.7419354838709)</f>
        <v>17.74193548</v>
      </c>
      <c r="B45" s="4">
        <f>IFERROR(__xludf.DUMMYFUNCTION("""COMPUTED_VALUE"""),254.137115839243)</f>
        <v>254.1371158</v>
      </c>
    </row>
    <row r="46">
      <c r="A46" s="4">
        <f>IFERROR(__xludf.DUMMYFUNCTION("split(Raw!E112, "","")"),22.7272727272727)</f>
        <v>22.72727273</v>
      </c>
      <c r="B46" s="4">
        <f>IFERROR(__xludf.DUMMYFUNCTION("""COMPUTED_VALUE"""),273.04964539007)</f>
        <v>273.0496454</v>
      </c>
    </row>
    <row r="47">
      <c r="A47" s="4">
        <f>IFERROR(__xludf.DUMMYFUNCTION("split(Raw!E113, "","")"),27.7126099706744)</f>
        <v>27.71260997</v>
      </c>
      <c r="B47" s="4">
        <f>IFERROR(__xludf.DUMMYFUNCTION("""COMPUTED_VALUE"""),268.321513002364)</f>
        <v>268.321513</v>
      </c>
    </row>
    <row r="48">
      <c r="A48" s="4">
        <f>IFERROR(__xludf.DUMMYFUNCTION("split(Raw!E114, "","")"),32.4046920821114)</f>
        <v>32.40469208</v>
      </c>
      <c r="B48" s="4">
        <f>IFERROR(__xludf.DUMMYFUNCTION("""COMPUTED_VALUE"""),249.408983451536)</f>
        <v>249.4089835</v>
      </c>
    </row>
    <row r="49">
      <c r="A49" s="4">
        <f>IFERROR(__xludf.DUMMYFUNCTION("split(Raw!E115, "","")"),37.0967741935483)</f>
        <v>37.09677419</v>
      </c>
      <c r="B49" s="4">
        <f>IFERROR(__xludf.DUMMYFUNCTION("""COMPUTED_VALUE"""),244.680851063829)</f>
        <v>244.6808511</v>
      </c>
    </row>
    <row r="50">
      <c r="A50" s="4">
        <f>IFERROR(__xludf.DUMMYFUNCTION("split(Raw!E116, "","")"),42.3753665689149)</f>
        <v>42.37536657</v>
      </c>
      <c r="B50" s="4">
        <f>IFERROR(__xludf.DUMMYFUNCTION("""COMPUTED_VALUE"""),221.040189125295)</f>
        <v>221.0401891</v>
      </c>
    </row>
    <row r="51">
      <c r="A51" s="4">
        <f>IFERROR(__xludf.DUMMYFUNCTION("split(Raw!E117, "","")"),47.3607038123167)</f>
        <v>47.36070381</v>
      </c>
      <c r="B51" s="4">
        <f>IFERROR(__xludf.DUMMYFUNCTION("""COMPUTED_VALUE"""),187.943262411347)</f>
        <v>187.9432624</v>
      </c>
    </row>
    <row r="52">
      <c r="A52" s="4">
        <f>IFERROR(__xludf.DUMMYFUNCTION("split(Raw!E118, "","")"),52.6392961876832)</f>
        <v>52.63929619</v>
      </c>
      <c r="B52" s="4">
        <f>IFERROR(__xludf.DUMMYFUNCTION("""COMPUTED_VALUE"""),183.21513002364)</f>
        <v>183.21513</v>
      </c>
    </row>
    <row r="53">
      <c r="A53" s="4">
        <f>IFERROR(__xludf.DUMMYFUNCTION("split(Raw!E119, "","")"),57.0381231671554)</f>
        <v>57.03812317</v>
      </c>
      <c r="B53" s="4">
        <f>IFERROR(__xludf.DUMMYFUNCTION("""COMPUTED_VALUE"""),150.118203309692)</f>
        <v>150.1182033</v>
      </c>
    </row>
    <row r="54">
      <c r="A54" s="4">
        <f>IFERROR(__xludf.DUMMYFUNCTION("split(Raw!E120, "","")"),62.316715542522)</f>
        <v>62.31671554</v>
      </c>
      <c r="B54" s="4">
        <f>IFERROR(__xludf.DUMMYFUNCTION("""COMPUTED_VALUE"""),135.933806146572)</f>
        <v>135.9338061</v>
      </c>
    </row>
    <row r="55">
      <c r="A55" s="4">
        <f>IFERROR(__xludf.DUMMYFUNCTION("split(Raw!E121, "","")"),67.3020527859237)</f>
        <v>67.30205279</v>
      </c>
      <c r="B55" s="4">
        <f>IFERROR(__xludf.DUMMYFUNCTION("""COMPUTED_VALUE"""),117.021276595744)</f>
        <v>117.0212766</v>
      </c>
    </row>
    <row r="56">
      <c r="A56" s="4">
        <f>IFERROR(__xludf.DUMMYFUNCTION("split(Raw!E122, "","")"),72.5806451612903)</f>
        <v>72.58064516</v>
      </c>
      <c r="B56" s="4">
        <f>IFERROR(__xludf.DUMMYFUNCTION("""COMPUTED_VALUE"""),102.836879432624)</f>
        <v>102.8368794</v>
      </c>
    </row>
    <row r="57">
      <c r="A57" s="4">
        <f>IFERROR(__xludf.DUMMYFUNCTION("split(Raw!E123, "","")"),76.9794721407624)</f>
        <v>76.97947214</v>
      </c>
      <c r="B57" s="4">
        <f>IFERROR(__xludf.DUMMYFUNCTION("""COMPUTED_VALUE"""),98.1087470449172)</f>
        <v>98.10874704</v>
      </c>
    </row>
    <row r="58">
      <c r="A58" s="4">
        <f>IFERROR(__xludf.DUMMYFUNCTION("split(Raw!E124, "","")"),82.258064516129)</f>
        <v>82.25806452</v>
      </c>
      <c r="B58" s="4">
        <f>IFERROR(__xludf.DUMMYFUNCTION("""COMPUTED_VALUE"""),79.1962174940898)</f>
        <v>79.19621749</v>
      </c>
    </row>
    <row r="59">
      <c r="A59" s="4">
        <f>IFERROR(__xludf.DUMMYFUNCTION("split(Raw!E125, "","")"),87.5366568914956)</f>
        <v>87.53665689</v>
      </c>
      <c r="B59" s="4">
        <f>IFERROR(__xludf.DUMMYFUNCTION("""COMPUTED_VALUE"""),69.7399527186761)</f>
        <v>69.73995272</v>
      </c>
    </row>
    <row r="60">
      <c r="A60" s="4">
        <f>IFERROR(__xludf.DUMMYFUNCTION("split(Raw!E126, "","")"),92.2287390029325)</f>
        <v>92.228739</v>
      </c>
      <c r="B60" s="4">
        <f>IFERROR(__xludf.DUMMYFUNCTION("""COMPUTED_VALUE"""),60.2836879432624)</f>
        <v>60.28368794</v>
      </c>
    </row>
    <row r="61">
      <c r="A61" s="4">
        <f>IFERROR(__xludf.DUMMYFUNCTION("split(Raw!E127, "","")"),97.5073313782991)</f>
        <v>97.50733138</v>
      </c>
      <c r="B61" s="4">
        <f>IFERROR(__xludf.DUMMYFUNCTION("""COMPUTED_VALUE"""),50.8274231678487)</f>
        <v>50.82742317</v>
      </c>
    </row>
    <row r="62">
      <c r="A62" s="4">
        <f>IFERROR(__xludf.DUMMYFUNCTION("split(Raw!E128, "","")"),102.785923753665)</f>
        <v>102.7859238</v>
      </c>
      <c r="B62" s="4">
        <f>IFERROR(__xludf.DUMMYFUNCTION("""COMPUTED_VALUE"""),46.0992907801418)</f>
        <v>46.09929078</v>
      </c>
    </row>
    <row r="63">
      <c r="A63" s="4">
        <f>IFERROR(__xludf.DUMMYFUNCTION("split(Raw!E129, "","")"),107.184750733137)</f>
        <v>107.1847507</v>
      </c>
      <c r="B63" s="4">
        <f>IFERROR(__xludf.DUMMYFUNCTION("""COMPUTED_VALUE"""),36.6430260047281)</f>
        <v>36.643026</v>
      </c>
    </row>
    <row r="64">
      <c r="A64" s="4">
        <f>IFERROR(__xludf.DUMMYFUNCTION("split(Raw!E130, "","")"),112.170087976539)</f>
        <v>112.170088</v>
      </c>
      <c r="B64" s="4">
        <f>IFERROR(__xludf.DUMMYFUNCTION("""COMPUTED_VALUE"""),36.6430260047281)</f>
        <v>36.643026</v>
      </c>
    </row>
    <row r="65">
      <c r="A65" s="4">
        <f>IFERROR(__xludf.DUMMYFUNCTION("split(Raw!E131, "","")"),117.155425219941)</f>
        <v>117.1554252</v>
      </c>
      <c r="B65" s="4">
        <f>IFERROR(__xludf.DUMMYFUNCTION("""COMPUTED_VALUE"""),31.9148936170212)</f>
        <v>31.91489362</v>
      </c>
    </row>
    <row r="66">
      <c r="A66" s="4">
        <f>IFERROR(__xludf.DUMMYFUNCTION("split(Raw!E132, "","")"),122.727272727272)</f>
        <v>122.7272727</v>
      </c>
      <c r="B66" s="4">
        <f>IFERROR(__xludf.DUMMYFUNCTION("""COMPUTED_VALUE"""),22.4586288416076)</f>
        <v>22.45862884</v>
      </c>
    </row>
    <row r="67">
      <c r="A67" s="4">
        <f>IFERROR(__xludf.DUMMYFUNCTION("split(Raw!E133, "","")"),126.539589442815)</f>
        <v>126.5395894</v>
      </c>
      <c r="B67" s="4">
        <f>IFERROR(__xludf.DUMMYFUNCTION("""COMPUTED_VALUE"""),22.4586288416076)</f>
        <v>22.45862884</v>
      </c>
    </row>
    <row r="68">
      <c r="A68" s="4">
        <f>IFERROR(__xludf.DUMMYFUNCTION("split(Raw!E134, "","")"),131.818181818181)</f>
        <v>131.8181818</v>
      </c>
      <c r="B68" s="4">
        <f>IFERROR(__xludf.DUMMYFUNCTION("""COMPUTED_VALUE"""),22.4586288416076)</f>
        <v>22.45862884</v>
      </c>
    </row>
    <row r="69">
      <c r="A69" s="4">
        <f>IFERROR(__xludf.DUMMYFUNCTION("split(Raw!E135, "","")"),136.803519061583)</f>
        <v>136.8035191</v>
      </c>
      <c r="B69" s="4">
        <f>IFERROR(__xludf.DUMMYFUNCTION("""COMPUTED_VALUE"""),17.7304964539007)</f>
        <v>17.73049645</v>
      </c>
    </row>
    <row r="70">
      <c r="A70" s="4">
        <f>IFERROR(__xludf.DUMMYFUNCTION("split(Raw!E136, "","")"),141.788856304985)</f>
        <v>141.7888563</v>
      </c>
      <c r="B70" s="4">
        <f>IFERROR(__xludf.DUMMYFUNCTION("""COMPUTED_VALUE"""),17.7304964539007)</f>
        <v>17.73049645</v>
      </c>
    </row>
    <row r="71">
      <c r="A71" s="4">
        <f>IFERROR(__xludf.DUMMYFUNCTION("split(Raw!E137, "","")"),147.067448680351)</f>
        <v>147.0674487</v>
      </c>
      <c r="B71" s="4">
        <f>IFERROR(__xludf.DUMMYFUNCTION("""COMPUTED_VALUE"""),13.0023640661938)</f>
        <v>13.00236407</v>
      </c>
    </row>
    <row r="72">
      <c r="A72" s="4">
        <f>IFERROR(__xludf.DUMMYFUNCTION("split(Raw!E138, "","")"),152.346041055718)</f>
        <v>152.3460411</v>
      </c>
      <c r="B72" s="4">
        <f>IFERROR(__xludf.DUMMYFUNCTION("""COMPUTED_VALUE"""),50.8274231678487)</f>
        <v>50.82742317</v>
      </c>
    </row>
    <row r="73">
      <c r="A73" s="4">
        <f>IFERROR(__xludf.DUMMYFUNCTION("split(Raw!E139, "","")"),157.038123167155)</f>
        <v>157.0381232</v>
      </c>
      <c r="B73" s="4">
        <f>IFERROR(__xludf.DUMMYFUNCTION("""COMPUTED_VALUE"""),8.27423167848701)</f>
        <v>8.274231678</v>
      </c>
    </row>
    <row r="74">
      <c r="A74" s="4">
        <f>IFERROR(__xludf.DUMMYFUNCTION("split(Raw!E140, "","")"),162.609970674486)</f>
        <v>162.6099707</v>
      </c>
      <c r="B74" s="4">
        <f>IFERROR(__xludf.DUMMYFUNCTION("""COMPUTED_VALUE"""),8.27423167848701)</f>
        <v>8.274231678</v>
      </c>
    </row>
    <row r="75">
      <c r="A75" s="4">
        <f>IFERROR(__xludf.DUMMYFUNCTION("split(Raw!E141, "","")"),167.008797653958)</f>
        <v>167.0087977</v>
      </c>
      <c r="B75" s="4">
        <f>IFERROR(__xludf.DUMMYFUNCTION("""COMPUTED_VALUE"""),8.27423167848701)</f>
        <v>8.274231678</v>
      </c>
    </row>
    <row r="76">
      <c r="A76" s="4">
        <f>IFERROR(__xludf.DUMMYFUNCTION("split(Raw!E142, "","")"),172.58064516129)</f>
        <v>172.5806452</v>
      </c>
      <c r="B76" s="4">
        <f>IFERROR(__xludf.DUMMYFUNCTION("""COMPUTED_VALUE"""),8.27423167848701)</f>
        <v>8.274231678</v>
      </c>
    </row>
    <row r="77">
      <c r="A77" s="4">
        <f>IFERROR(__xludf.DUMMYFUNCTION("split(Raw!E143, "","")"),177.272727272727)</f>
        <v>177.2727273</v>
      </c>
      <c r="B77" s="4">
        <f>IFERROR(__xludf.DUMMYFUNCTION("""COMPUTED_VALUE"""),3.54609929078014)</f>
        <v>3.546099291</v>
      </c>
    </row>
    <row r="78">
      <c r="A78" s="4">
        <f>IFERROR(__xludf.DUMMYFUNCTION("split(Raw!E144, "","")"),182.551319648093)</f>
        <v>182.5513196</v>
      </c>
      <c r="B78" s="4">
        <f>IFERROR(__xludf.DUMMYFUNCTION("""COMPUTED_VALUE"""),8.27423167848701)</f>
        <v>8.274231678</v>
      </c>
    </row>
    <row r="79">
      <c r="A79" s="4">
        <f>IFERROR(__xludf.DUMMYFUNCTION("split(Raw!E145, "","")"),186.950146627566)</f>
        <v>186.9501466</v>
      </c>
      <c r="B79" s="4">
        <f>IFERROR(__xludf.DUMMYFUNCTION("""COMPUTED_VALUE"""),8.27423167848701)</f>
        <v>8.274231678</v>
      </c>
    </row>
    <row r="80">
      <c r="A80" s="4">
        <f>IFERROR(__xludf.DUMMYFUNCTION("split(Raw!E146, "","")"),192.521994134897)</f>
        <v>192.5219941</v>
      </c>
      <c r="B80" s="4">
        <f>IFERROR(__xludf.DUMMYFUNCTION("""COMPUTED_VALUE"""),8.27423167848701)</f>
        <v>8.274231678</v>
      </c>
    </row>
    <row r="81">
      <c r="A81" s="4">
        <f>IFERROR(__xludf.DUMMYFUNCTION("split(Raw!E147, "","")"),197.214076246334)</f>
        <v>197.2140762</v>
      </c>
      <c r="B81" s="4">
        <f>IFERROR(__xludf.DUMMYFUNCTION("""COMPUTED_VALUE"""),60.2836879432624)</f>
        <v>60.28368794</v>
      </c>
    </row>
  </sheetData>
  <mergeCells count="1">
    <mergeCell ref="D1:E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557</v>
      </c>
      <c r="B1" s="1" t="s">
        <v>554</v>
      </c>
      <c r="D1" s="2" t="s">
        <v>556</v>
      </c>
      <c r="F1" s="3" t="s">
        <v>554</v>
      </c>
    </row>
    <row r="2">
      <c r="A2" s="4">
        <f>IFERROR(__xludf.DUMMYFUNCTION("SPLIT(Raw!I2, "","")"),4.0)</f>
        <v>4</v>
      </c>
      <c r="B2" s="4">
        <f>IFERROR(__xludf.DUMMYFUNCTION("""COMPUTED_VALUE"""),71689.4977168949)</f>
        <v>71689.49772</v>
      </c>
      <c r="D2" s="1">
        <v>3.5</v>
      </c>
      <c r="E2" s="1">
        <v>4.5</v>
      </c>
      <c r="F2" s="4">
        <f t="shared" ref="F2:F6" si="1">round(B2-B7,0)</f>
        <v>61553</v>
      </c>
    </row>
    <row r="3">
      <c r="A3" s="4">
        <f>IFERROR(__xludf.DUMMYFUNCTION("SPLIT(Raw!I3, "","")"),5.0018018018018)</f>
        <v>5.001801802</v>
      </c>
      <c r="B3" s="4">
        <f>IFERROR(__xludf.DUMMYFUNCTION("""COMPUTED_VALUE"""),41552.5114155251)</f>
        <v>41552.51142</v>
      </c>
      <c r="D3" s="1">
        <v>4.5</v>
      </c>
      <c r="E3" s="1">
        <v>5.5</v>
      </c>
      <c r="F3" s="4">
        <f t="shared" si="1"/>
        <v>36712</v>
      </c>
    </row>
    <row r="4">
      <c r="A4" s="4">
        <f>IFERROR(__xludf.DUMMYFUNCTION("SPLIT(Raw!I4, "","")"),6.0036036036036)</f>
        <v>6.003603604</v>
      </c>
      <c r="B4" s="4">
        <f>IFERROR(__xludf.DUMMYFUNCTION("""COMPUTED_VALUE"""),18356.1643835616)</f>
        <v>18356.16438</v>
      </c>
      <c r="D4" s="1">
        <v>5.5</v>
      </c>
      <c r="E4" s="1">
        <v>6.5</v>
      </c>
      <c r="F4" s="4">
        <f t="shared" si="1"/>
        <v>16256</v>
      </c>
    </row>
    <row r="5">
      <c r="A5" s="4">
        <f>IFERROR(__xludf.DUMMYFUNCTION("SPLIT(Raw!I5, "","")"),6.99819819819819)</f>
        <v>6.998198198</v>
      </c>
      <c r="B5" s="4">
        <f>IFERROR(__xludf.DUMMYFUNCTION("""COMPUTED_VALUE"""),6849.31506849315)</f>
        <v>6849.315068</v>
      </c>
      <c r="D5" s="1">
        <v>6.5</v>
      </c>
      <c r="E5" s="1">
        <v>7.5</v>
      </c>
      <c r="F5" s="4">
        <f t="shared" si="1"/>
        <v>6027</v>
      </c>
    </row>
    <row r="6">
      <c r="A6" s="4">
        <f>IFERROR(__xludf.DUMMYFUNCTION("SPLIT(Raw!I6, "","")"),8.0)</f>
        <v>8</v>
      </c>
      <c r="B6" s="4">
        <f>IFERROR(__xludf.DUMMYFUNCTION("""COMPUTED_VALUE"""),3196.34703196346)</f>
        <v>3196.347032</v>
      </c>
      <c r="D6" s="1">
        <v>7.5</v>
      </c>
      <c r="E6" s="1">
        <v>8.5</v>
      </c>
      <c r="F6" s="4">
        <f t="shared" si="1"/>
        <v>2740</v>
      </c>
    </row>
    <row r="7">
      <c r="A7" s="4">
        <f>IFERROR(__xludf.DUMMYFUNCTION("SPLIT(Raw!I7, "","")"),4.0)</f>
        <v>4</v>
      </c>
      <c r="B7" s="4">
        <f>IFERROR(__xludf.DUMMYFUNCTION("""COMPUTED_VALUE"""),10136.9863013698)</f>
        <v>10136.9863</v>
      </c>
    </row>
    <row r="8">
      <c r="A8" s="4">
        <f>IFERROR(__xludf.DUMMYFUNCTION("SPLIT(Raw!I8, "","")"),5.0018018018018)</f>
        <v>5.001801802</v>
      </c>
      <c r="B8" s="4">
        <f>IFERROR(__xludf.DUMMYFUNCTION("""COMPUTED_VALUE"""),4840.18264840182)</f>
        <v>4840.182648</v>
      </c>
    </row>
    <row r="9">
      <c r="A9" s="4">
        <f>IFERROR(__xludf.DUMMYFUNCTION("SPLIT(Raw!I9, "","")"),5.99639639639639)</f>
        <v>5.996396396</v>
      </c>
      <c r="B9" s="4">
        <f>IFERROR(__xludf.DUMMYFUNCTION("""COMPUTED_VALUE"""),2100.45662100456)</f>
        <v>2100.456621</v>
      </c>
    </row>
    <row r="10">
      <c r="A10" s="4">
        <f>IFERROR(__xludf.DUMMYFUNCTION("SPLIT(Raw!I10, "","")"),6.99819819819819)</f>
        <v>6.998198198</v>
      </c>
      <c r="B10" s="4">
        <f>IFERROR(__xludf.DUMMYFUNCTION("""COMPUTED_VALUE"""),821.917808219179)</f>
        <v>821.9178082</v>
      </c>
    </row>
    <row r="11">
      <c r="A11" s="4">
        <f>IFERROR(__xludf.DUMMYFUNCTION("SPLIT(Raw!I11, "","")"),7.99279279279279)</f>
        <v>7.992792793</v>
      </c>
      <c r="B11" s="4">
        <f>IFERROR(__xludf.DUMMYFUNCTION("""COMPUTED_VALUE"""),456.621004566208)</f>
        <v>456.6210046</v>
      </c>
    </row>
  </sheetData>
  <mergeCells count="1">
    <mergeCell ref="D1:E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561</v>
      </c>
      <c r="B1" s="1" t="s">
        <v>554</v>
      </c>
      <c r="D1" s="2" t="s">
        <v>556</v>
      </c>
      <c r="F1" s="3" t="s">
        <v>554</v>
      </c>
    </row>
    <row r="2">
      <c r="A2" s="4">
        <f>IFERROR(__xludf.DUMMYFUNCTION("SPLIT(Raw!I14, "","")"),26.1726078799249)</f>
        <v>26.17260788</v>
      </c>
      <c r="B2" s="4">
        <f>IFERROR(__xludf.DUMMYFUNCTION("""COMPUTED_VALUE"""),19020.618556701)</f>
        <v>19020.61856</v>
      </c>
      <c r="D2" s="1">
        <v>25.0</v>
      </c>
      <c r="E2" s="1">
        <v>27.5</v>
      </c>
      <c r="F2" s="4">
        <f t="shared" ref="F2:F19" si="1">round(B2-B20,0)</f>
        <v>15928</v>
      </c>
    </row>
    <row r="3">
      <c r="A3" s="4">
        <f>IFERROR(__xludf.DUMMYFUNCTION("SPLIT(Raw!I15, "","")"),28.6116322701688)</f>
        <v>28.61163227</v>
      </c>
      <c r="B3" s="4">
        <f>IFERROR(__xludf.DUMMYFUNCTION("""COMPUTED_VALUE"""),16649.4845360824)</f>
        <v>16649.48454</v>
      </c>
      <c r="D3" s="1">
        <v>27.5</v>
      </c>
      <c r="E3" s="1">
        <v>30.0</v>
      </c>
      <c r="F3" s="4">
        <f t="shared" si="1"/>
        <v>14021</v>
      </c>
    </row>
    <row r="4">
      <c r="A4" s="4">
        <f>IFERROR(__xludf.DUMMYFUNCTION("SPLIT(Raw!I16, "","")"),32.5515947467167)</f>
        <v>32.55159475</v>
      </c>
      <c r="B4" s="4">
        <f>IFERROR(__xludf.DUMMYFUNCTION("""COMPUTED_VALUE"""),13092.7835051546)</f>
        <v>13092.78351</v>
      </c>
      <c r="D4" s="1">
        <v>30.0</v>
      </c>
      <c r="E4" s="1">
        <v>35.0</v>
      </c>
      <c r="F4" s="4">
        <f t="shared" si="1"/>
        <v>11237</v>
      </c>
    </row>
    <row r="5">
      <c r="A5" s="4">
        <f>IFERROR(__xludf.DUMMYFUNCTION("SPLIT(Raw!I17, "","")"),36.1163227016885)</f>
        <v>36.1163227</v>
      </c>
      <c r="B5" s="4">
        <f>IFERROR(__xludf.DUMMYFUNCTION("""COMPUTED_VALUE"""),11391.7525773195)</f>
        <v>11391.75258</v>
      </c>
      <c r="D5" s="1">
        <v>35.0</v>
      </c>
      <c r="E5" s="1">
        <v>37.5</v>
      </c>
      <c r="F5" s="4">
        <f t="shared" si="1"/>
        <v>9845</v>
      </c>
    </row>
    <row r="6">
      <c r="A6" s="4">
        <f>IFERROR(__xludf.DUMMYFUNCTION("SPLIT(Raw!I18, "","")"),38.7429643527204)</f>
        <v>38.74296435</v>
      </c>
      <c r="B6" s="4">
        <f>IFERROR(__xludf.DUMMYFUNCTION("""COMPUTED_VALUE"""),10773.1958762886)</f>
        <v>10773.19588</v>
      </c>
      <c r="D6" s="1">
        <v>37.5</v>
      </c>
      <c r="E6" s="1">
        <v>40.0</v>
      </c>
      <c r="F6" s="4">
        <f t="shared" si="1"/>
        <v>9381</v>
      </c>
    </row>
    <row r="7">
      <c r="A7" s="4">
        <f>IFERROR(__xludf.DUMMYFUNCTION("SPLIT(Raw!I19, "","")"),40.9943714821763)</f>
        <v>40.99437148</v>
      </c>
      <c r="B7" s="4">
        <f>IFERROR(__xludf.DUMMYFUNCTION("""COMPUTED_VALUE"""),10103.0927835051)</f>
        <v>10103.09278</v>
      </c>
      <c r="D7" s="1">
        <v>40.0</v>
      </c>
      <c r="E7" s="1">
        <v>42.5</v>
      </c>
      <c r="F7" s="4">
        <f t="shared" si="1"/>
        <v>8866</v>
      </c>
    </row>
    <row r="8">
      <c r="A8" s="4">
        <f>IFERROR(__xludf.DUMMYFUNCTION("SPLIT(Raw!I20, "","")"),44.9343339587242)</f>
        <v>44.93433396</v>
      </c>
      <c r="B8" s="4">
        <f>IFERROR(__xludf.DUMMYFUNCTION("""COMPUTED_VALUE"""),8969.07216494845)</f>
        <v>8969.072165</v>
      </c>
      <c r="D8" s="1">
        <v>42.5</v>
      </c>
      <c r="E8" s="1">
        <v>47.5</v>
      </c>
      <c r="F8" s="4">
        <f t="shared" si="1"/>
        <v>7938</v>
      </c>
    </row>
    <row r="9">
      <c r="A9" s="4">
        <f>IFERROR(__xludf.DUMMYFUNCTION("SPLIT(Raw!I21, "","")"),48.686679174484)</f>
        <v>48.68667917</v>
      </c>
      <c r="B9" s="4">
        <f>IFERROR(__xludf.DUMMYFUNCTION("""COMPUTED_VALUE"""),8144.32989690721)</f>
        <v>8144.329897</v>
      </c>
      <c r="D9" s="1">
        <v>47.5</v>
      </c>
      <c r="E9" s="1">
        <v>50.0</v>
      </c>
      <c r="F9" s="4">
        <f t="shared" si="1"/>
        <v>7216</v>
      </c>
    </row>
    <row r="10">
      <c r="A10" s="4">
        <f>IFERROR(__xludf.DUMMYFUNCTION("SPLIT(Raw!I22, "","")"),52.4390243902439)</f>
        <v>52.43902439</v>
      </c>
      <c r="B10" s="4">
        <f>IFERROR(__xludf.DUMMYFUNCTION("""COMPUTED_VALUE"""),7577.31958762886)</f>
        <v>7577.319588</v>
      </c>
      <c r="D10" s="1">
        <v>50.0</v>
      </c>
      <c r="E10" s="1">
        <v>55.0</v>
      </c>
      <c r="F10" s="4">
        <f t="shared" si="1"/>
        <v>6701</v>
      </c>
    </row>
    <row r="11">
      <c r="A11" s="4">
        <f>IFERROR(__xludf.DUMMYFUNCTION("SPLIT(Raw!I23, "","")"),57.5046904315197)</f>
        <v>57.50469043</v>
      </c>
      <c r="B11" s="4">
        <f>IFERROR(__xludf.DUMMYFUNCTION("""COMPUTED_VALUE"""),6701.03092783505)</f>
        <v>6701.030928</v>
      </c>
      <c r="D11" s="1">
        <v>55.0</v>
      </c>
      <c r="E11" s="1">
        <v>60.0</v>
      </c>
      <c r="F11" s="4">
        <f t="shared" si="1"/>
        <v>6031</v>
      </c>
    </row>
    <row r="12">
      <c r="A12" s="4">
        <f>IFERROR(__xludf.DUMMYFUNCTION("SPLIT(Raw!I24, "","")"),62.5703564727954)</f>
        <v>62.57035647</v>
      </c>
      <c r="B12" s="4">
        <f>IFERROR(__xludf.DUMMYFUNCTION("""COMPUTED_VALUE"""),6185.56701030927)</f>
        <v>6185.56701</v>
      </c>
      <c r="D12" s="1">
        <v>60.0</v>
      </c>
      <c r="E12" s="1">
        <v>65.0</v>
      </c>
      <c r="F12" s="4">
        <f t="shared" si="1"/>
        <v>5515</v>
      </c>
    </row>
    <row r="13">
      <c r="A13" s="4">
        <f>IFERROR(__xludf.DUMMYFUNCTION("SPLIT(Raw!I25, "","")"),67.6360225140713)</f>
        <v>67.63602251</v>
      </c>
      <c r="B13" s="4">
        <f>IFERROR(__xludf.DUMMYFUNCTION("""COMPUTED_VALUE"""),5618.55670103092)</f>
        <v>5618.556701</v>
      </c>
      <c r="D13" s="1">
        <v>65.0</v>
      </c>
      <c r="E13" s="1">
        <v>70.0</v>
      </c>
      <c r="F13" s="4">
        <f t="shared" si="1"/>
        <v>5052</v>
      </c>
    </row>
    <row r="14">
      <c r="A14" s="4">
        <f>IFERROR(__xludf.DUMMYFUNCTION("SPLIT(Raw!I26, "","")"),72.5140712945591)</f>
        <v>72.51407129</v>
      </c>
      <c r="B14" s="4">
        <f>IFERROR(__xludf.DUMMYFUNCTION("""COMPUTED_VALUE"""),5103.09278350515)</f>
        <v>5103.092784</v>
      </c>
      <c r="D14" s="1">
        <v>70.0</v>
      </c>
      <c r="E14" s="1">
        <v>75.0</v>
      </c>
      <c r="F14" s="4">
        <f t="shared" si="1"/>
        <v>4588</v>
      </c>
    </row>
    <row r="15">
      <c r="A15" s="4">
        <f>IFERROR(__xludf.DUMMYFUNCTION("SPLIT(Raw!I27, "","")"),78.8930581613508)</f>
        <v>78.89305816</v>
      </c>
      <c r="B15" s="4">
        <f>IFERROR(__xludf.DUMMYFUNCTION("""COMPUTED_VALUE"""),4484.53608247422)</f>
        <v>4484.536082</v>
      </c>
      <c r="D15" s="1">
        <v>75.0</v>
      </c>
      <c r="E15" s="1">
        <v>82.5</v>
      </c>
      <c r="F15" s="4">
        <f t="shared" si="1"/>
        <v>4072</v>
      </c>
    </row>
    <row r="16">
      <c r="A16" s="4">
        <f>IFERROR(__xludf.DUMMYFUNCTION("SPLIT(Raw!I28, "","")"),87.3358348968105)</f>
        <v>87.3358349</v>
      </c>
      <c r="B16" s="4">
        <f>IFERROR(__xludf.DUMMYFUNCTION("""COMPUTED_VALUE"""),3659.79381443298)</f>
        <v>3659.793814</v>
      </c>
      <c r="D16" s="1">
        <v>82.5</v>
      </c>
      <c r="E16" s="1">
        <v>92.5</v>
      </c>
      <c r="F16" s="4">
        <f t="shared" si="1"/>
        <v>3299</v>
      </c>
    </row>
    <row r="17">
      <c r="A17" s="4">
        <f>IFERROR(__xludf.DUMMYFUNCTION("SPLIT(Raw!I29, "","")"),98.968105065666)</f>
        <v>98.96810507</v>
      </c>
      <c r="B17" s="4">
        <f>IFERROR(__xludf.DUMMYFUNCTION("""COMPUTED_VALUE"""),2783.50515463917)</f>
        <v>2783.505155</v>
      </c>
      <c r="D17" s="1">
        <v>92.5</v>
      </c>
      <c r="E17" s="1">
        <v>105.0</v>
      </c>
      <c r="F17" s="4">
        <f t="shared" si="1"/>
        <v>2474</v>
      </c>
    </row>
    <row r="18">
      <c r="A18" s="4">
        <f>IFERROR(__xludf.DUMMYFUNCTION("SPLIT(Raw!I30, "","")"),114.352720450281)</f>
        <v>114.3527205</v>
      </c>
      <c r="B18" s="4">
        <f>IFERROR(__xludf.DUMMYFUNCTION("""COMPUTED_VALUE"""),1958.76288659793)</f>
        <v>1958.762887</v>
      </c>
      <c r="D18" s="1">
        <v>105.0</v>
      </c>
      <c r="E18" s="1">
        <v>122.5</v>
      </c>
      <c r="F18" s="4">
        <f t="shared" si="1"/>
        <v>1753</v>
      </c>
    </row>
    <row r="19">
      <c r="A19" s="4">
        <f>IFERROR(__xludf.DUMMYFUNCTION("SPLIT(Raw!I31, "","")"),138.74296435272)</f>
        <v>138.7429644</v>
      </c>
      <c r="B19" s="4">
        <f>IFERROR(__xludf.DUMMYFUNCTION("""COMPUTED_VALUE"""),2525.77319587628)</f>
        <v>2525.773196</v>
      </c>
      <c r="D19" s="1">
        <v>122.5</v>
      </c>
      <c r="E19" s="1">
        <v>155.0</v>
      </c>
      <c r="F19" s="4">
        <f t="shared" si="1"/>
        <v>2165</v>
      </c>
    </row>
    <row r="20">
      <c r="A20" s="4">
        <f>IFERROR(__xludf.DUMMYFUNCTION("SPLIT(Raw!I32, "","")"),26.3602251407129)</f>
        <v>26.36022514</v>
      </c>
      <c r="B20" s="4">
        <f>IFERROR(__xludf.DUMMYFUNCTION("""COMPUTED_VALUE"""),3092.78350515463)</f>
        <v>3092.783505</v>
      </c>
    </row>
    <row r="21">
      <c r="A21" s="4">
        <f>IFERROR(__xludf.DUMMYFUNCTION("SPLIT(Raw!I33, "","")"),28.6116322701688)</f>
        <v>28.61163227</v>
      </c>
      <c r="B21" s="4">
        <f>IFERROR(__xludf.DUMMYFUNCTION("""COMPUTED_VALUE"""),2628.86597938144)</f>
        <v>2628.865979</v>
      </c>
    </row>
    <row r="22">
      <c r="A22" s="4">
        <f>IFERROR(__xludf.DUMMYFUNCTION("SPLIT(Raw!I34, "","")"),32.3639774859287)</f>
        <v>32.36397749</v>
      </c>
      <c r="B22" s="4">
        <f>IFERROR(__xludf.DUMMYFUNCTION("""COMPUTED_VALUE"""),1855.67010309278)</f>
        <v>1855.670103</v>
      </c>
    </row>
    <row r="23">
      <c r="A23" s="4">
        <f>IFERROR(__xludf.DUMMYFUNCTION("SPLIT(Raw!I35, "","")"),36.1163227016885)</f>
        <v>36.1163227</v>
      </c>
      <c r="B23" s="4">
        <f>IFERROR(__xludf.DUMMYFUNCTION("""COMPUTED_VALUE"""),1546.39175257731)</f>
        <v>1546.391753</v>
      </c>
    </row>
    <row r="24">
      <c r="A24" s="4">
        <f>IFERROR(__xludf.DUMMYFUNCTION("SPLIT(Raw!I36, "","")"),38.7429643527204)</f>
        <v>38.74296435</v>
      </c>
      <c r="B24" s="4">
        <f>IFERROR(__xludf.DUMMYFUNCTION("""COMPUTED_VALUE"""),1391.75257731958)</f>
        <v>1391.752577</v>
      </c>
    </row>
    <row r="25">
      <c r="A25" s="4">
        <f>IFERROR(__xludf.DUMMYFUNCTION("SPLIT(Raw!I37, "","")"),41.1819887429643)</f>
        <v>41.18198874</v>
      </c>
      <c r="B25" s="4">
        <f>IFERROR(__xludf.DUMMYFUNCTION("""COMPUTED_VALUE"""),1237.11340206185)</f>
        <v>1237.113402</v>
      </c>
    </row>
    <row r="26">
      <c r="A26" s="4">
        <f>IFERROR(__xludf.DUMMYFUNCTION("SPLIT(Raw!I38, "","")"),44.9343339587242)</f>
        <v>44.93433396</v>
      </c>
      <c r="B26" s="4">
        <f>IFERROR(__xludf.DUMMYFUNCTION("""COMPUTED_VALUE"""),1030.92783505154)</f>
        <v>1030.927835</v>
      </c>
    </row>
    <row r="27">
      <c r="A27" s="4">
        <f>IFERROR(__xludf.DUMMYFUNCTION("SPLIT(Raw!I39, "","")"),48.686679174484)</f>
        <v>48.68667917</v>
      </c>
      <c r="B27" s="4">
        <f>IFERROR(__xludf.DUMMYFUNCTION("""COMPUTED_VALUE"""),927.835051546391)</f>
        <v>927.8350515</v>
      </c>
    </row>
    <row r="28">
      <c r="A28" s="4">
        <f>IFERROR(__xludf.DUMMYFUNCTION("SPLIT(Raw!I40, "","")"),52.4390243902439)</f>
        <v>52.43902439</v>
      </c>
      <c r="B28" s="4">
        <f>IFERROR(__xludf.DUMMYFUNCTION("""COMPUTED_VALUE"""),876.288659793814)</f>
        <v>876.2886598</v>
      </c>
    </row>
    <row r="29">
      <c r="A29" s="4">
        <f>IFERROR(__xludf.DUMMYFUNCTION("SPLIT(Raw!I41, "","")"),57.1294559099437)</f>
        <v>57.12945591</v>
      </c>
      <c r="B29" s="4">
        <f>IFERROR(__xludf.DUMMYFUNCTION("""COMPUTED_VALUE"""),670.103092783505)</f>
        <v>670.1030928</v>
      </c>
    </row>
    <row r="30">
      <c r="A30" s="4">
        <f>IFERROR(__xludf.DUMMYFUNCTION("SPLIT(Raw!I42, "","")"),62.3827392120075)</f>
        <v>62.38273921</v>
      </c>
      <c r="B30" s="4">
        <f>IFERROR(__xludf.DUMMYFUNCTION("""COMPUTED_VALUE"""),670.103092783505)</f>
        <v>670.1030928</v>
      </c>
    </row>
    <row r="31">
      <c r="A31" s="4">
        <f>IFERROR(__xludf.DUMMYFUNCTION("SPLIT(Raw!I43, "","")"),67.4484052532833)</f>
        <v>67.44840525</v>
      </c>
      <c r="B31" s="4">
        <f>IFERROR(__xludf.DUMMYFUNCTION("""COMPUTED_VALUE"""),567.01030927835)</f>
        <v>567.0103093</v>
      </c>
    </row>
    <row r="32">
      <c r="A32" s="4">
        <f>IFERROR(__xludf.DUMMYFUNCTION("SPLIT(Raw!I44, "","")"),72.5140712945591)</f>
        <v>72.51407129</v>
      </c>
      <c r="B32" s="4">
        <f>IFERROR(__xludf.DUMMYFUNCTION("""COMPUTED_VALUE"""),515.463917525773)</f>
        <v>515.4639175</v>
      </c>
    </row>
    <row r="33">
      <c r="A33" s="4">
        <f>IFERROR(__xludf.DUMMYFUNCTION("SPLIT(Raw!I45, "","")"),78.8930581613508)</f>
        <v>78.89305816</v>
      </c>
      <c r="B33" s="4">
        <f>IFERROR(__xludf.DUMMYFUNCTION("""COMPUTED_VALUE"""),412.371134020618)</f>
        <v>412.371134</v>
      </c>
    </row>
    <row r="34">
      <c r="A34" s="4">
        <f>IFERROR(__xludf.DUMMYFUNCTION("SPLIT(Raw!I46, "","")"),87.5234521575985)</f>
        <v>87.52345216</v>
      </c>
      <c r="B34" s="4">
        <f>IFERROR(__xludf.DUMMYFUNCTION("""COMPUTED_VALUE"""),360.824742268041)</f>
        <v>360.8247423</v>
      </c>
    </row>
    <row r="35">
      <c r="A35" s="4">
        <f>IFERROR(__xludf.DUMMYFUNCTION("SPLIT(Raw!I47, "","")"),98.59287054409)</f>
        <v>98.59287054</v>
      </c>
      <c r="B35" s="4">
        <f>IFERROR(__xludf.DUMMYFUNCTION("""COMPUTED_VALUE"""),309.278350515463)</f>
        <v>309.2783505</v>
      </c>
    </row>
    <row r="36">
      <c r="A36" s="4">
        <f>IFERROR(__xludf.DUMMYFUNCTION("SPLIT(Raw!I48, "","")"),113.789868667917)</f>
        <v>113.7898687</v>
      </c>
      <c r="B36" s="4">
        <f>IFERROR(__xludf.DUMMYFUNCTION("""COMPUTED_VALUE"""),206.185567010309)</f>
        <v>206.185567</v>
      </c>
    </row>
    <row r="37">
      <c r="A37" s="4">
        <f>IFERROR(__xludf.DUMMYFUNCTION("SPLIT(Raw!I49, "","")"),138.555347091932)</f>
        <v>138.5553471</v>
      </c>
      <c r="B37" s="4">
        <f>IFERROR(__xludf.DUMMYFUNCTION("""COMPUTED_VALUE"""),360.824742268041)</f>
        <v>360.8247423</v>
      </c>
    </row>
  </sheetData>
  <mergeCells count="1">
    <mergeCell ref="D1:E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561</v>
      </c>
      <c r="B1" s="1" t="s">
        <v>554</v>
      </c>
      <c r="D1" s="2" t="s">
        <v>556</v>
      </c>
      <c r="F1" s="3" t="s">
        <v>554</v>
      </c>
    </row>
    <row r="2">
      <c r="A2" s="4">
        <f>IFERROR(__xludf.DUMMYFUNCTION("SPLIT(Raw!I52, "","")"),36.0544217687074)</f>
        <v>36.05442177</v>
      </c>
      <c r="B2" s="4">
        <f>IFERROR(__xludf.DUMMYFUNCTION("""COMPUTED_VALUE"""),71.7359413202933)</f>
        <v>71.73594132</v>
      </c>
      <c r="D2" s="1">
        <v>25.0</v>
      </c>
      <c r="E2" s="1">
        <v>50.0</v>
      </c>
      <c r="F2" s="4">
        <f t="shared" ref="F2:F20" si="1">round(B2-B21,0)</f>
        <v>60</v>
      </c>
    </row>
    <row r="3">
      <c r="A3" s="4">
        <f>IFERROR(__xludf.DUMMYFUNCTION("SPLIT(Raw!I53, "","")"),63.2653061224489)</f>
        <v>63.26530612</v>
      </c>
      <c r="B3" s="4">
        <f>IFERROR(__xludf.DUMMYFUNCTION("""COMPUTED_VALUE"""),61.760391198044)</f>
        <v>61.7603912</v>
      </c>
      <c r="D3" s="1">
        <v>50.0</v>
      </c>
      <c r="E3" s="1">
        <v>75.0</v>
      </c>
      <c r="F3" s="4">
        <f t="shared" si="1"/>
        <v>52</v>
      </c>
    </row>
    <row r="4">
      <c r="A4" s="4">
        <f>IFERROR(__xludf.DUMMYFUNCTION("SPLIT(Raw!I54, "","")"),88.4353741496598)</f>
        <v>88.43537415</v>
      </c>
      <c r="B4" s="4">
        <f>IFERROR(__xludf.DUMMYFUNCTION("""COMPUTED_VALUE"""),49.8288508557457)</f>
        <v>49.82885086</v>
      </c>
      <c r="D4" s="1">
        <v>75.0</v>
      </c>
      <c r="E4" s="1">
        <v>100.0</v>
      </c>
      <c r="F4" s="4">
        <f t="shared" si="1"/>
        <v>42</v>
      </c>
    </row>
    <row r="5">
      <c r="A5" s="4">
        <f>IFERROR(__xludf.DUMMYFUNCTION("SPLIT(Raw!I55, "","")"),112.925170068027)</f>
        <v>112.9251701</v>
      </c>
      <c r="B5" s="4">
        <f>IFERROR(__xludf.DUMMYFUNCTION("""COMPUTED_VALUE"""),39.4621026894865)</f>
        <v>39.46210269</v>
      </c>
      <c r="D5" s="1">
        <v>100.0</v>
      </c>
      <c r="E5" s="1">
        <v>125.0</v>
      </c>
      <c r="F5" s="4">
        <f t="shared" si="1"/>
        <v>33</v>
      </c>
    </row>
    <row r="6">
      <c r="A6" s="4">
        <f>IFERROR(__xludf.DUMMYFUNCTION("SPLIT(Raw!I56, "","")"),138.095238095238)</f>
        <v>138.0952381</v>
      </c>
      <c r="B6" s="4">
        <f>IFERROR(__xludf.DUMMYFUNCTION("""COMPUTED_VALUE"""),30.0733496332518)</f>
        <v>30.07334963</v>
      </c>
      <c r="D6" s="1">
        <v>125.0</v>
      </c>
      <c r="E6" s="1">
        <v>150.0</v>
      </c>
      <c r="F6" s="4">
        <f t="shared" si="1"/>
        <v>26</v>
      </c>
    </row>
    <row r="7">
      <c r="A7" s="4">
        <f>IFERROR(__xludf.DUMMYFUNCTION("SPLIT(Raw!I57, "","")"),161.224489795918)</f>
        <v>161.2244898</v>
      </c>
      <c r="B7" s="4">
        <f>IFERROR(__xludf.DUMMYFUNCTION("""COMPUTED_VALUE"""),22.8361858190709)</f>
        <v>22.83618582</v>
      </c>
      <c r="D7" s="1">
        <v>150.0</v>
      </c>
      <c r="E7" s="1">
        <v>175.0</v>
      </c>
      <c r="F7" s="4">
        <f t="shared" si="1"/>
        <v>19</v>
      </c>
    </row>
    <row r="8">
      <c r="A8" s="4">
        <f>IFERROR(__xludf.DUMMYFUNCTION("SPLIT(Raw!I58, "","")"),187.074829931972)</f>
        <v>187.0748299</v>
      </c>
      <c r="B8" s="4">
        <f>IFERROR(__xludf.DUMMYFUNCTION("""COMPUTED_VALUE"""),17.163814180929)</f>
        <v>17.16381418</v>
      </c>
      <c r="D8" s="1">
        <v>175.0</v>
      </c>
      <c r="E8" s="1">
        <v>200.0</v>
      </c>
      <c r="F8" s="4">
        <f t="shared" si="1"/>
        <v>14</v>
      </c>
    </row>
    <row r="9">
      <c r="A9" s="4">
        <f>IFERROR(__xludf.DUMMYFUNCTION("SPLIT(Raw!I59, "","")"),212.244897959183)</f>
        <v>212.244898</v>
      </c>
      <c r="B9" s="4">
        <f>IFERROR(__xludf.DUMMYFUNCTION("""COMPUTED_VALUE"""),12.4694376528117)</f>
        <v>12.46943765</v>
      </c>
      <c r="D9" s="1">
        <v>200.0</v>
      </c>
      <c r="E9" s="1">
        <v>225.0</v>
      </c>
      <c r="F9" s="4">
        <f t="shared" si="1"/>
        <v>10</v>
      </c>
    </row>
    <row r="10">
      <c r="A10" s="4">
        <f>IFERROR(__xludf.DUMMYFUNCTION("SPLIT(Raw!I60, "","")"),238.095238095238)</f>
        <v>238.0952381</v>
      </c>
      <c r="B10" s="4">
        <f>IFERROR(__xludf.DUMMYFUNCTION("""COMPUTED_VALUE"""),9.33985330073349)</f>
        <v>9.339853301</v>
      </c>
      <c r="D10" s="1">
        <v>225.0</v>
      </c>
      <c r="E10" s="1">
        <v>250.0</v>
      </c>
      <c r="F10" s="4">
        <f t="shared" si="1"/>
        <v>7</v>
      </c>
    </row>
    <row r="11">
      <c r="A11" s="4">
        <f>IFERROR(__xludf.DUMMYFUNCTION("SPLIT(Raw!I61, "","")"),261.904761904761)</f>
        <v>261.9047619</v>
      </c>
      <c r="B11" s="4">
        <f>IFERROR(__xludf.DUMMYFUNCTION("""COMPUTED_VALUE"""),6.01466992665036)</f>
        <v>6.014669927</v>
      </c>
      <c r="D11" s="1">
        <v>250.0</v>
      </c>
      <c r="E11" s="1">
        <v>275.5</v>
      </c>
      <c r="F11" s="4">
        <f t="shared" si="1"/>
        <v>4</v>
      </c>
    </row>
    <row r="12">
      <c r="A12" s="4">
        <f>IFERROR(__xludf.DUMMYFUNCTION("SPLIT(Raw!I62, "","")"),285.714285714285)</f>
        <v>285.7142857</v>
      </c>
      <c r="B12" s="4">
        <f>IFERROR(__xludf.DUMMYFUNCTION("""COMPUTED_VALUE"""),4.84107579462102)</f>
        <v>4.841075795</v>
      </c>
      <c r="D12" s="1">
        <v>275.0</v>
      </c>
      <c r="E12" s="1">
        <v>300.0</v>
      </c>
      <c r="F12" s="4">
        <f t="shared" si="1"/>
        <v>3</v>
      </c>
    </row>
    <row r="13">
      <c r="A13" s="4">
        <f>IFERROR(__xludf.DUMMYFUNCTION("SPLIT(Raw!I63, "","")"),312.244897959183)</f>
        <v>312.244898</v>
      </c>
      <c r="B13" s="4">
        <f>IFERROR(__xludf.DUMMYFUNCTION("""COMPUTED_VALUE"""),3.08068459657701)</f>
        <v>3.080684597</v>
      </c>
      <c r="D13" s="1">
        <v>300.0</v>
      </c>
      <c r="E13" s="1">
        <v>325.0</v>
      </c>
      <c r="F13" s="4">
        <f t="shared" si="1"/>
        <v>2</v>
      </c>
    </row>
    <row r="14">
      <c r="A14" s="4">
        <f>IFERROR(__xludf.DUMMYFUNCTION("SPLIT(Raw!I64, "","")"),336.734693877551)</f>
        <v>336.7346939</v>
      </c>
      <c r="B14" s="4">
        <f>IFERROR(__xludf.DUMMYFUNCTION("""COMPUTED_VALUE"""),1.90709046454767)</f>
        <v>1.907090465</v>
      </c>
      <c r="D14" s="1">
        <v>325.0</v>
      </c>
      <c r="E14" s="1">
        <v>350.0</v>
      </c>
      <c r="F14" s="4">
        <f t="shared" si="1"/>
        <v>1</v>
      </c>
    </row>
    <row r="15">
      <c r="A15" s="4">
        <f>IFERROR(__xludf.DUMMYFUNCTION("SPLIT(Raw!I65, "","")"),371.428571428571)</f>
        <v>371.4285714</v>
      </c>
      <c r="B15" s="4">
        <f>IFERROR(__xludf.DUMMYFUNCTION("""COMPUTED_VALUE"""),1.51589242053789)</f>
        <v>1.515892421</v>
      </c>
      <c r="D15" s="1">
        <v>350.0</v>
      </c>
      <c r="E15" s="1">
        <v>375.0</v>
      </c>
      <c r="F15" s="4">
        <f t="shared" si="1"/>
        <v>1</v>
      </c>
    </row>
    <row r="16">
      <c r="A16" s="4">
        <f>IFERROR(__xludf.DUMMYFUNCTION("SPLIT(Raw!I66, "","")"),395.238095238095)</f>
        <v>395.2380952</v>
      </c>
      <c r="B16" s="4">
        <f>IFERROR(__xludf.DUMMYFUNCTION("""COMPUTED_VALUE"""),1.12469437652811)</f>
        <v>1.124694377</v>
      </c>
      <c r="D16" s="1">
        <v>375.0</v>
      </c>
      <c r="E16" s="1">
        <v>400.0</v>
      </c>
      <c r="F16" s="4">
        <f t="shared" si="1"/>
        <v>0</v>
      </c>
    </row>
    <row r="17">
      <c r="A17" s="4">
        <f>IFERROR(__xludf.DUMMYFUNCTION("SPLIT(Raw!I67, "","")"),421.088435374149)</f>
        <v>421.0884354</v>
      </c>
      <c r="B17" s="4">
        <f>IFERROR(__xludf.DUMMYFUNCTION("""COMPUTED_VALUE"""),0.733496332518335)</f>
        <v>0.7334963325</v>
      </c>
      <c r="D17" s="1">
        <v>400.0</v>
      </c>
      <c r="E17" s="1">
        <v>425.0</v>
      </c>
      <c r="F17" s="4">
        <f t="shared" si="1"/>
        <v>0</v>
      </c>
    </row>
    <row r="18">
      <c r="A18" s="4">
        <f>IFERROR(__xludf.DUMMYFUNCTION("SPLIT(Raw!I68, "","")"),447.619047619047)</f>
        <v>447.6190476</v>
      </c>
      <c r="B18" s="4">
        <f>IFERROR(__xludf.DUMMYFUNCTION("""COMPUTED_VALUE"""),0.537897310513447)</f>
        <v>0.5378973105</v>
      </c>
      <c r="D18" s="1">
        <v>425.0</v>
      </c>
      <c r="E18" s="1">
        <v>450.0</v>
      </c>
      <c r="F18" s="4">
        <f t="shared" si="1"/>
        <v>0</v>
      </c>
    </row>
    <row r="19">
      <c r="A19" s="4">
        <f>IFERROR(__xludf.DUMMYFUNCTION("SPLIT(Raw!I69, "","")"),470.068027210884)</f>
        <v>470.0680272</v>
      </c>
      <c r="B19" s="4">
        <f>IFERROR(__xludf.DUMMYFUNCTION("""COMPUTED_VALUE"""),0.537897310513447)</f>
        <v>0.5378973105</v>
      </c>
      <c r="D19" s="1">
        <v>450.0</v>
      </c>
      <c r="E19" s="1">
        <v>475.0</v>
      </c>
      <c r="F19" s="4">
        <f t="shared" si="1"/>
        <v>1</v>
      </c>
    </row>
    <row r="20">
      <c r="A20" s="4">
        <f>IFERROR(__xludf.DUMMYFUNCTION("SPLIT(Raw!I70, "","")"),495.238095238095)</f>
        <v>495.2380952</v>
      </c>
      <c r="B20" s="4">
        <f>IFERROR(__xludf.DUMMYFUNCTION("""COMPUTED_VALUE"""),1.51589242053789)</f>
        <v>1.515892421</v>
      </c>
      <c r="D20" s="1">
        <v>475.0</v>
      </c>
      <c r="E20" s="1">
        <v>500.0</v>
      </c>
      <c r="F20" s="4">
        <f t="shared" si="1"/>
        <v>0</v>
      </c>
    </row>
    <row r="21">
      <c r="A21" s="4">
        <f>IFERROR(__xludf.DUMMYFUNCTION("SPLIT(Raw!I71, "","")"),39.4557823129251)</f>
        <v>39.45578231</v>
      </c>
      <c r="B21" s="4">
        <f>IFERROR(__xludf.DUMMYFUNCTION("""COMPUTED_VALUE"""),11.4914425427872)</f>
        <v>11.49144254</v>
      </c>
    </row>
    <row r="22">
      <c r="A22" s="4">
        <f>IFERROR(__xludf.DUMMYFUNCTION("SPLIT(Raw!I72, "","")"),62.5850340136054)</f>
        <v>62.58503401</v>
      </c>
      <c r="B22" s="4">
        <f>IFERROR(__xludf.DUMMYFUNCTION("""COMPUTED_VALUE"""),9.92665036674816)</f>
        <v>9.926650367</v>
      </c>
    </row>
    <row r="23">
      <c r="A23" s="4">
        <f>IFERROR(__xludf.DUMMYFUNCTION("SPLIT(Raw!I73, "","")"),88.4353741496598)</f>
        <v>88.43537415</v>
      </c>
      <c r="B23" s="4">
        <f>IFERROR(__xludf.DUMMYFUNCTION("""COMPUTED_VALUE"""),8.16625916870415)</f>
        <v>8.166259169</v>
      </c>
    </row>
    <row r="24">
      <c r="A24" s="4">
        <f>IFERROR(__xludf.DUMMYFUNCTION("SPLIT(Raw!I74, "","")"),112.925170068027)</f>
        <v>112.9251701</v>
      </c>
      <c r="B24" s="4">
        <f>IFERROR(__xludf.DUMMYFUNCTION("""COMPUTED_VALUE"""),6.79706601466992)</f>
        <v>6.797066015</v>
      </c>
    </row>
    <row r="25">
      <c r="A25" s="4">
        <f>IFERROR(__xludf.DUMMYFUNCTION("SPLIT(Raw!I75, "","")"),138.775510204081)</f>
        <v>138.7755102</v>
      </c>
      <c r="B25" s="4">
        <f>IFERROR(__xludf.DUMMYFUNCTION("""COMPUTED_VALUE"""),4.44987775061124)</f>
        <v>4.449877751</v>
      </c>
    </row>
    <row r="26">
      <c r="A26" s="4">
        <f>IFERROR(__xludf.DUMMYFUNCTION("SPLIT(Raw!I76, "","")"),163.265306122448)</f>
        <v>163.2653061</v>
      </c>
      <c r="B26" s="4">
        <f>IFERROR(__xludf.DUMMYFUNCTION("""COMPUTED_VALUE"""),3.66748166259168)</f>
        <v>3.667481663</v>
      </c>
    </row>
    <row r="27">
      <c r="A27" s="4">
        <f>IFERROR(__xludf.DUMMYFUNCTION("SPLIT(Raw!I77, "","")"),187.074829931972)</f>
        <v>187.0748299</v>
      </c>
      <c r="B27" s="4">
        <f>IFERROR(__xludf.DUMMYFUNCTION("""COMPUTED_VALUE"""),3.08068459657701)</f>
        <v>3.080684597</v>
      </c>
    </row>
    <row r="28">
      <c r="A28" s="4">
        <f>IFERROR(__xludf.DUMMYFUNCTION("SPLIT(Raw!I78, "","")"),210.204081632653)</f>
        <v>210.2040816</v>
      </c>
      <c r="B28" s="4">
        <f>IFERROR(__xludf.DUMMYFUNCTION("""COMPUTED_VALUE"""),2.29828850855745)</f>
        <v>2.298288509</v>
      </c>
    </row>
    <row r="29">
      <c r="A29" s="4">
        <f>IFERROR(__xludf.DUMMYFUNCTION("SPLIT(Raw!I79, "","")"),237.414965986394)</f>
        <v>237.414966</v>
      </c>
      <c r="B29" s="4">
        <f>IFERROR(__xludf.DUMMYFUNCTION("""COMPUTED_VALUE"""),2.29828850855745)</f>
        <v>2.298288509</v>
      </c>
    </row>
    <row r="30">
      <c r="A30" s="4">
        <f>IFERROR(__xludf.DUMMYFUNCTION("SPLIT(Raw!I80, "","")"),261.904761904761)</f>
        <v>261.9047619</v>
      </c>
      <c r="B30" s="4">
        <f>IFERROR(__xludf.DUMMYFUNCTION("""COMPUTED_VALUE"""),1.90709046454767)</f>
        <v>1.907090465</v>
      </c>
    </row>
    <row r="31">
      <c r="A31" s="4">
        <f>IFERROR(__xludf.DUMMYFUNCTION("SPLIT(Raw!I81, "","")"),286.394557823129)</f>
        <v>286.3945578</v>
      </c>
      <c r="B31" s="4">
        <f>IFERROR(__xludf.DUMMYFUNCTION("""COMPUTED_VALUE"""),1.51589242053789)</f>
        <v>1.515892421</v>
      </c>
    </row>
    <row r="32">
      <c r="A32" s="4">
        <f>IFERROR(__xludf.DUMMYFUNCTION("SPLIT(Raw!I82, "","")"),312.244897959183)</f>
        <v>312.244898</v>
      </c>
      <c r="B32" s="4">
        <f>IFERROR(__xludf.DUMMYFUNCTION("""COMPUTED_VALUE"""),0.929095354523227)</f>
        <v>0.9290953545</v>
      </c>
    </row>
    <row r="33">
      <c r="A33" s="4">
        <f>IFERROR(__xludf.DUMMYFUNCTION("SPLIT(Raw!I83, "","")"),330.612244897959)</f>
        <v>330.6122449</v>
      </c>
      <c r="B33" s="4">
        <f>IFERROR(__xludf.DUMMYFUNCTION("""COMPUTED_VALUE"""),0.733496332518335)</f>
        <v>0.7334963325</v>
      </c>
    </row>
    <row r="34">
      <c r="A34" s="4">
        <f>IFERROR(__xludf.DUMMYFUNCTION("SPLIT(Raw!I84, "","")"),353.061224489795)</f>
        <v>353.0612245</v>
      </c>
      <c r="B34" s="4">
        <f>IFERROR(__xludf.DUMMYFUNCTION("""COMPUTED_VALUE"""),0.733496332518335)</f>
        <v>0.7334963325</v>
      </c>
    </row>
    <row r="35">
      <c r="A35" s="4">
        <f>IFERROR(__xludf.DUMMYFUNCTION("SPLIT(Raw!I85, "","")"),385.714285714285)</f>
        <v>385.7142857</v>
      </c>
      <c r="B35" s="4">
        <f>IFERROR(__xludf.DUMMYFUNCTION("""COMPUTED_VALUE"""),0.929095354523227)</f>
        <v>0.9290953545</v>
      </c>
    </row>
    <row r="36">
      <c r="A36" s="4">
        <f>IFERROR(__xludf.DUMMYFUNCTION("SPLIT(Raw!I86, "","")"),410.204081632653)</f>
        <v>410.2040816</v>
      </c>
      <c r="B36" s="4">
        <f>IFERROR(__xludf.DUMMYFUNCTION("""COMPUTED_VALUE"""),0.537897310513447)</f>
        <v>0.5378973105</v>
      </c>
    </row>
    <row r="37">
      <c r="A37" s="4">
        <f>IFERROR(__xludf.DUMMYFUNCTION("SPLIT(Raw!I87, "","")"),434.69387755102)</f>
        <v>434.6938776</v>
      </c>
      <c r="B37" s="4">
        <f>IFERROR(__xludf.DUMMYFUNCTION("""COMPUTED_VALUE"""),0.342298288508555)</f>
        <v>0.3422982885</v>
      </c>
    </row>
    <row r="38">
      <c r="A38" s="4">
        <f>IFERROR(__xludf.DUMMYFUNCTION("SPLIT(Raw!I88, "","")"),458.503401360544)</f>
        <v>458.5034014</v>
      </c>
      <c r="B38" s="4">
        <f>IFERROR(__xludf.DUMMYFUNCTION("""COMPUTED_VALUE"""),-0.0488997555012247)</f>
        <v>-0.0488997555</v>
      </c>
    </row>
    <row r="39">
      <c r="A39" s="4">
        <f>IFERROR(__xludf.DUMMYFUNCTION("SPLIT(Raw!I89, "","")"),480.95238095238)</f>
        <v>480.952381</v>
      </c>
      <c r="B39" s="4">
        <f>IFERROR(__xludf.DUMMYFUNCTION("""COMPUTED_VALUE"""),1.12469437652811)</f>
        <v>1.124694377</v>
      </c>
    </row>
  </sheetData>
  <mergeCells count="1">
    <mergeCell ref="D1:E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559</v>
      </c>
      <c r="B1" s="1" t="s">
        <v>554</v>
      </c>
      <c r="D1" s="2" t="s">
        <v>556</v>
      </c>
      <c r="F1" s="3" t="s">
        <v>554</v>
      </c>
    </row>
    <row r="2">
      <c r="A2" s="4">
        <f>IFERROR(__xludf.DUMMYFUNCTION("SPLIT(Raw!I92, "","")"),-2.37696335078534)</f>
        <v>-2.376963351</v>
      </c>
      <c r="B2" s="4">
        <f>IFERROR(__xludf.DUMMYFUNCTION("""COMPUTED_VALUE"""),341.825902335456)</f>
        <v>341.8259023</v>
      </c>
      <c r="D2" s="1">
        <v>-2.5</v>
      </c>
      <c r="E2" s="1">
        <v>-2.25</v>
      </c>
      <c r="F2" s="4">
        <f t="shared" ref="F2:F21" si="1">round(B2-B22,0)</f>
        <v>202</v>
      </c>
    </row>
    <row r="3">
      <c r="A3" s="4">
        <f>IFERROR(__xludf.DUMMYFUNCTION("SPLIT(Raw!I93, "","")"),-2.11867364746945)</f>
        <v>-2.118673647</v>
      </c>
      <c r="B3" s="4">
        <f>IFERROR(__xludf.DUMMYFUNCTION("""COMPUTED_VALUE"""),585.987261146496)</f>
        <v>585.9872611</v>
      </c>
      <c r="D3" s="1">
        <v>-2.25</v>
      </c>
      <c r="E3" s="1">
        <v>-2.0</v>
      </c>
      <c r="F3" s="4">
        <f t="shared" si="1"/>
        <v>403</v>
      </c>
    </row>
    <row r="4">
      <c r="A4" s="4">
        <f>IFERROR(__xludf.DUMMYFUNCTION("SPLIT(Raw!I94, "","")"),-1.88132635253054)</f>
        <v>-1.881326353</v>
      </c>
      <c r="B4" s="4">
        <f>IFERROR(__xludf.DUMMYFUNCTION("""COMPUTED_VALUE"""),936.305732484076)</f>
        <v>936.3057325</v>
      </c>
      <c r="D4" s="1">
        <v>-2.0</v>
      </c>
      <c r="E4" s="1">
        <v>-1.75</v>
      </c>
      <c r="F4" s="4">
        <f t="shared" si="1"/>
        <v>722</v>
      </c>
    </row>
    <row r="5">
      <c r="A5" s="4">
        <f>IFERROR(__xludf.DUMMYFUNCTION("SPLIT(Raw!I95, "","")"),-1.61605584642233)</f>
        <v>-1.616055846</v>
      </c>
      <c r="B5" s="4">
        <f>IFERROR(__xludf.DUMMYFUNCTION("""COMPUTED_VALUE"""),1222.92993630573)</f>
        <v>1222.929936</v>
      </c>
      <c r="D5" s="1">
        <v>-1.75</v>
      </c>
      <c r="E5" s="1">
        <v>-1.5</v>
      </c>
      <c r="F5" s="4">
        <f t="shared" si="1"/>
        <v>934</v>
      </c>
    </row>
    <row r="6">
      <c r="A6" s="4">
        <f>IFERROR(__xludf.DUMMYFUNCTION("SPLIT(Raw!I96, "","")"),-1.37172774869109)</f>
        <v>-1.371727749</v>
      </c>
      <c r="B6" s="4">
        <f>IFERROR(__xludf.DUMMYFUNCTION("""COMPUTED_VALUE"""),1307.85562632696)</f>
        <v>1307.855626</v>
      </c>
      <c r="D6" s="1">
        <v>-1.5</v>
      </c>
      <c r="E6" s="1">
        <v>-1.25</v>
      </c>
      <c r="F6" s="4">
        <f t="shared" si="1"/>
        <v>1062</v>
      </c>
    </row>
    <row r="7">
      <c r="A7" s="4">
        <f>IFERROR(__xludf.DUMMYFUNCTION("SPLIT(Raw!I97, "","")"),-1.12041884816753)</f>
        <v>-1.120418848</v>
      </c>
      <c r="B7" s="4">
        <f>IFERROR(__xludf.DUMMYFUNCTION("""COMPUTED_VALUE"""),2050.95541401273)</f>
        <v>2050.955414</v>
      </c>
      <c r="D7" s="1">
        <v>-1.25</v>
      </c>
      <c r="E7" s="1">
        <v>-1.0</v>
      </c>
      <c r="F7" s="4">
        <f t="shared" si="1"/>
        <v>1635</v>
      </c>
    </row>
    <row r="8">
      <c r="A8" s="4">
        <f>IFERROR(__xludf.DUMMYFUNCTION("SPLIT(Raw!I98, "","")"),-0.869109947643979)</f>
        <v>-0.8691099476</v>
      </c>
      <c r="B8" s="4">
        <f>IFERROR(__xludf.DUMMYFUNCTION("""COMPUTED_VALUE"""),2167.72823779193)</f>
        <v>2167.728238</v>
      </c>
      <c r="D8" s="1">
        <v>-1.0</v>
      </c>
      <c r="E8" s="1">
        <v>-0.75</v>
      </c>
      <c r="F8" s="4">
        <f t="shared" si="1"/>
        <v>1826</v>
      </c>
    </row>
    <row r="9">
      <c r="A9" s="4">
        <f>IFERROR(__xludf.DUMMYFUNCTION("SPLIT(Raw!I99, "","")"),-0.62478184991274)</f>
        <v>-0.6247818499</v>
      </c>
      <c r="B9" s="4">
        <f>IFERROR(__xludf.DUMMYFUNCTION("""COMPUTED_VALUE"""),2624.20382165605)</f>
        <v>2624.203822</v>
      </c>
      <c r="D9" s="1">
        <v>-0.75</v>
      </c>
      <c r="E9" s="1">
        <v>-0.5</v>
      </c>
      <c r="F9" s="4">
        <f t="shared" si="1"/>
        <v>2219</v>
      </c>
    </row>
    <row r="10">
      <c r="A10" s="4">
        <f>IFERROR(__xludf.DUMMYFUNCTION("SPLIT(Raw!I100, "","")"),-0.366492146596858)</f>
        <v>-0.3664921466</v>
      </c>
      <c r="B10" s="4">
        <f>IFERROR(__xludf.DUMMYFUNCTION("""COMPUTED_VALUE"""),3080.67940552017)</f>
        <v>3080.679406</v>
      </c>
      <c r="D10" s="1">
        <v>-0.5</v>
      </c>
      <c r="E10" s="1">
        <v>-0.25</v>
      </c>
      <c r="F10" s="4">
        <f t="shared" si="1"/>
        <v>2580</v>
      </c>
    </row>
    <row r="11">
      <c r="A11" s="4">
        <f>IFERROR(__xludf.DUMMYFUNCTION("SPLIT(Raw!I101, "","")"),-0.115183246073298)</f>
        <v>-0.1151832461</v>
      </c>
      <c r="B11" s="4">
        <f>IFERROR(__xludf.DUMMYFUNCTION("""COMPUTED_VALUE"""),2624.20382165605)</f>
        <v>2624.203822</v>
      </c>
      <c r="D11" s="1">
        <v>-0.25</v>
      </c>
      <c r="E11" s="1">
        <v>0.0</v>
      </c>
      <c r="F11" s="4">
        <f t="shared" si="1"/>
        <v>2219</v>
      </c>
    </row>
    <row r="12">
      <c r="A12" s="4">
        <f>IFERROR(__xludf.DUMMYFUNCTION("SPLIT(Raw!I102, "","")"),0.122164048865619)</f>
        <v>0.1221640489</v>
      </c>
      <c r="B12" s="4">
        <f>IFERROR(__xludf.DUMMYFUNCTION("""COMPUTED_VALUE"""),2719.74522292993)</f>
        <v>2719.745223</v>
      </c>
      <c r="D12" s="1">
        <v>0.0</v>
      </c>
      <c r="E12" s="1">
        <v>0.25</v>
      </c>
      <c r="F12" s="4">
        <f t="shared" si="1"/>
        <v>2293</v>
      </c>
    </row>
    <row r="13">
      <c r="A13" s="4">
        <f>IFERROR(__xludf.DUMMYFUNCTION("SPLIT(Raw!I103, "","")"),0.366492146596858)</f>
        <v>0.3664921466</v>
      </c>
      <c r="B13" s="4">
        <f>IFERROR(__xludf.DUMMYFUNCTION("""COMPUTED_VALUE"""),2932.05944798301)</f>
        <v>2932.059448</v>
      </c>
      <c r="D13" s="1">
        <v>0.25</v>
      </c>
      <c r="E13" s="1">
        <v>0.5</v>
      </c>
      <c r="F13" s="4">
        <f t="shared" si="1"/>
        <v>2505</v>
      </c>
    </row>
    <row r="14">
      <c r="A14" s="4">
        <f>IFERROR(__xludf.DUMMYFUNCTION("SPLIT(Raw!I104, "","")"),0.62478184991274)</f>
        <v>0.6247818499</v>
      </c>
      <c r="B14" s="4">
        <f>IFERROR(__xludf.DUMMYFUNCTION("""COMPUTED_VALUE"""),2666.66666666666)</f>
        <v>2666.666667</v>
      </c>
      <c r="D14" s="1">
        <v>0.5</v>
      </c>
      <c r="E14" s="1">
        <v>0.75</v>
      </c>
      <c r="F14" s="4">
        <f t="shared" si="1"/>
        <v>2261</v>
      </c>
    </row>
    <row r="15">
      <c r="A15" s="4">
        <f>IFERROR(__xludf.DUMMYFUNCTION("SPLIT(Raw!I105, "","")"),0.869109947643979)</f>
        <v>0.8691099476</v>
      </c>
      <c r="B15" s="4">
        <f>IFERROR(__xludf.DUMMYFUNCTION("""COMPUTED_VALUE"""),2199.57537154989)</f>
        <v>2199.575372</v>
      </c>
      <c r="D15" s="1">
        <v>0.75</v>
      </c>
      <c r="E15" s="1">
        <v>1.0</v>
      </c>
      <c r="F15" s="4">
        <f t="shared" si="1"/>
        <v>1826</v>
      </c>
    </row>
    <row r="16">
      <c r="A16" s="4">
        <f>IFERROR(__xludf.DUMMYFUNCTION("SPLIT(Raw!I106, "","")"),1.12041884816753)</f>
        <v>1.120418848</v>
      </c>
      <c r="B16" s="4">
        <f>IFERROR(__xludf.DUMMYFUNCTION("""COMPUTED_VALUE"""),1944.79830148619)</f>
        <v>1944.798301</v>
      </c>
      <c r="D16" s="1">
        <v>1.0</v>
      </c>
      <c r="E16" s="1">
        <v>1.25</v>
      </c>
      <c r="F16" s="4">
        <f t="shared" si="1"/>
        <v>1603</v>
      </c>
    </row>
    <row r="17">
      <c r="A17" s="4">
        <f>IFERROR(__xludf.DUMMYFUNCTION("SPLIT(Raw!I107, "","")"),1.37172774869109)</f>
        <v>1.371727749</v>
      </c>
      <c r="B17" s="4">
        <f>IFERROR(__xludf.DUMMYFUNCTION("""COMPUTED_VALUE"""),1201.69851380042)</f>
        <v>1201.698514</v>
      </c>
      <c r="D17" s="1">
        <v>1.25</v>
      </c>
      <c r="E17" s="1">
        <v>1.5</v>
      </c>
      <c r="F17" s="4">
        <f t="shared" si="1"/>
        <v>1008</v>
      </c>
    </row>
    <row r="18">
      <c r="A18" s="4">
        <f>IFERROR(__xludf.DUMMYFUNCTION("SPLIT(Raw!I108, "","")"),1.63001745200698)</f>
        <v>1.630017452</v>
      </c>
      <c r="B18" s="4">
        <f>IFERROR(__xludf.DUMMYFUNCTION("""COMPUTED_VALUE"""),1148.61995753715)</f>
        <v>1148.619958</v>
      </c>
      <c r="D18" s="1">
        <v>1.5</v>
      </c>
      <c r="E18" s="1">
        <v>1.75</v>
      </c>
      <c r="F18" s="4">
        <f t="shared" si="1"/>
        <v>913</v>
      </c>
    </row>
    <row r="19">
      <c r="A19" s="4">
        <f>IFERROR(__xludf.DUMMYFUNCTION("SPLIT(Raw!I109, "","")"),1.87434554973821)</f>
        <v>1.87434555</v>
      </c>
      <c r="B19" s="4">
        <f>IFERROR(__xludf.DUMMYFUNCTION("""COMPUTED_VALUE"""),936.305732484076)</f>
        <v>936.3057325</v>
      </c>
      <c r="D19" s="1">
        <v>1.75</v>
      </c>
      <c r="E19" s="1">
        <v>2.0</v>
      </c>
      <c r="F19" s="4">
        <f t="shared" si="1"/>
        <v>732</v>
      </c>
    </row>
    <row r="20">
      <c r="A20" s="4">
        <f>IFERROR(__xludf.DUMMYFUNCTION("SPLIT(Raw!I110, "","")"),2.12565445026178)</f>
        <v>2.12565445</v>
      </c>
      <c r="B20" s="4">
        <f>IFERROR(__xludf.DUMMYFUNCTION("""COMPUTED_VALUE"""),564.755838641189)</f>
        <v>564.7558386</v>
      </c>
      <c r="D20" s="1">
        <v>2.0</v>
      </c>
      <c r="E20" s="1">
        <v>2.25</v>
      </c>
      <c r="F20" s="4">
        <f t="shared" si="1"/>
        <v>414</v>
      </c>
    </row>
    <row r="21">
      <c r="A21" s="4">
        <f>IFERROR(__xludf.DUMMYFUNCTION("SPLIT(Raw!I111, "","")"),2.36998254799301)</f>
        <v>2.369982548</v>
      </c>
      <c r="B21" s="4">
        <f>IFERROR(__xludf.DUMMYFUNCTION("""COMPUTED_VALUE"""),309.978768577494)</f>
        <v>309.9787686</v>
      </c>
      <c r="D21" s="1">
        <v>2.25</v>
      </c>
      <c r="E21" s="1">
        <v>2.5</v>
      </c>
      <c r="F21" s="4">
        <f t="shared" si="1"/>
        <v>191</v>
      </c>
    </row>
    <row r="22">
      <c r="A22" s="4">
        <f>IFERROR(__xludf.DUMMYFUNCTION("SPLIT(Raw!I112, "","")"),-2.38394415357766)</f>
        <v>-2.383944154</v>
      </c>
      <c r="B22" s="4">
        <f>IFERROR(__xludf.DUMMYFUNCTION("""COMPUTED_VALUE"""),140.127388535031)</f>
        <v>140.1273885</v>
      </c>
    </row>
    <row r="23">
      <c r="A23" s="4">
        <f>IFERROR(__xludf.DUMMYFUNCTION("SPLIT(Raw!I113, "","")"),-2.12565445026178)</f>
        <v>-2.12565445</v>
      </c>
      <c r="B23" s="4">
        <f>IFERROR(__xludf.DUMMYFUNCTION("""COMPUTED_VALUE"""),182.590233545647)</f>
        <v>182.5902335</v>
      </c>
    </row>
    <row r="24">
      <c r="A24" s="4">
        <f>IFERROR(__xludf.DUMMYFUNCTION("SPLIT(Raw!I114, "","")"),-1.87434554973822)</f>
        <v>-1.87434555</v>
      </c>
      <c r="B24" s="4">
        <f>IFERROR(__xludf.DUMMYFUNCTION("""COMPUTED_VALUE"""),214.437367303609)</f>
        <v>214.4373673</v>
      </c>
    </row>
    <row r="25">
      <c r="A25" s="4">
        <f>IFERROR(__xludf.DUMMYFUNCTION("SPLIT(Raw!I115, "","")"),-1.62303664921465)</f>
        <v>-1.623036649</v>
      </c>
      <c r="B25" s="4">
        <f>IFERROR(__xludf.DUMMYFUNCTION("""COMPUTED_VALUE"""),288.747346072186)</f>
        <v>288.7473461</v>
      </c>
    </row>
    <row r="26">
      <c r="A26" s="4">
        <f>IFERROR(__xludf.DUMMYFUNCTION("SPLIT(Raw!I116, "","")"),-1.37172774869109)</f>
        <v>-1.371727749</v>
      </c>
      <c r="B26" s="4">
        <f>IFERROR(__xludf.DUMMYFUNCTION("""COMPUTED_VALUE"""),246.284501061571)</f>
        <v>246.2845011</v>
      </c>
    </row>
    <row r="27">
      <c r="A27" s="4">
        <f>IFERROR(__xludf.DUMMYFUNCTION("SPLIT(Raw!I117, "","")"),-1.12041884816753)</f>
        <v>-1.120418848</v>
      </c>
      <c r="B27" s="4">
        <f>IFERROR(__xludf.DUMMYFUNCTION("""COMPUTED_VALUE"""),416.135881104033)</f>
        <v>416.1358811</v>
      </c>
    </row>
    <row r="28">
      <c r="A28" s="4">
        <f>IFERROR(__xludf.DUMMYFUNCTION("SPLIT(Raw!I118, "","")"),-0.8760907504363)</f>
        <v>-0.8760907504</v>
      </c>
      <c r="B28" s="4">
        <f>IFERROR(__xludf.DUMMYFUNCTION("""COMPUTED_VALUE"""),341.825902335456)</f>
        <v>341.8259023</v>
      </c>
    </row>
    <row r="29">
      <c r="A29" s="4">
        <f>IFERROR(__xludf.DUMMYFUNCTION("SPLIT(Raw!I119, "","")"),-0.62478184991274)</f>
        <v>-0.6247818499</v>
      </c>
      <c r="B29" s="4">
        <f>IFERROR(__xludf.DUMMYFUNCTION("""COMPUTED_VALUE"""),405.52016985138)</f>
        <v>405.5201699</v>
      </c>
    </row>
    <row r="30">
      <c r="A30" s="4">
        <f>IFERROR(__xludf.DUMMYFUNCTION("SPLIT(Raw!I120, "","")"),-0.373472949389179)</f>
        <v>-0.3734729494</v>
      </c>
      <c r="B30" s="4">
        <f>IFERROR(__xludf.DUMMYFUNCTION("""COMPUTED_VALUE"""),501.061571125265)</f>
        <v>501.0615711</v>
      </c>
    </row>
    <row r="31">
      <c r="A31" s="4">
        <f>IFERROR(__xludf.DUMMYFUNCTION("SPLIT(Raw!I121, "","")"),-0.122164048865619)</f>
        <v>-0.1221640489</v>
      </c>
      <c r="B31" s="4">
        <f>IFERROR(__xludf.DUMMYFUNCTION("""COMPUTED_VALUE"""),405.52016985138)</f>
        <v>405.5201699</v>
      </c>
    </row>
    <row r="32">
      <c r="A32" s="4">
        <f>IFERROR(__xludf.DUMMYFUNCTION("SPLIT(Raw!I122, "","")"),0.115183246073298)</f>
        <v>0.1151832461</v>
      </c>
      <c r="B32" s="4">
        <f>IFERROR(__xludf.DUMMYFUNCTION("""COMPUTED_VALUE"""),426.751592356688)</f>
        <v>426.7515924</v>
      </c>
    </row>
    <row r="33">
      <c r="A33" s="4">
        <f>IFERROR(__xludf.DUMMYFUNCTION("SPLIT(Raw!I123, "","")"),0.373472949389179)</f>
        <v>0.3734729494</v>
      </c>
      <c r="B33" s="4">
        <f>IFERROR(__xludf.DUMMYFUNCTION("""COMPUTED_VALUE"""),426.751592356688)</f>
        <v>426.7515924</v>
      </c>
    </row>
    <row r="34">
      <c r="A34" s="4">
        <f>IFERROR(__xludf.DUMMYFUNCTION("SPLIT(Raw!I124, "","")"),0.638743455497382)</f>
        <v>0.6387434555</v>
      </c>
      <c r="B34" s="4">
        <f>IFERROR(__xludf.DUMMYFUNCTION("""COMPUTED_VALUE"""),405.52016985138)</f>
        <v>405.5201699</v>
      </c>
    </row>
    <row r="35">
      <c r="A35" s="4">
        <f>IFERROR(__xludf.DUMMYFUNCTION("SPLIT(Raw!I125, "","")"),0.8760907504363)</f>
        <v>0.8760907504</v>
      </c>
      <c r="B35" s="4">
        <f>IFERROR(__xludf.DUMMYFUNCTION("""COMPUTED_VALUE"""),373.673036093418)</f>
        <v>373.6730361</v>
      </c>
    </row>
    <row r="36">
      <c r="A36" s="4">
        <f>IFERROR(__xludf.DUMMYFUNCTION("SPLIT(Raw!I126, "","")"),1.13438045375218)</f>
        <v>1.134380454</v>
      </c>
      <c r="B36" s="4">
        <f>IFERROR(__xludf.DUMMYFUNCTION("""COMPUTED_VALUE"""),341.825902335456)</f>
        <v>341.8259023</v>
      </c>
    </row>
    <row r="37">
      <c r="A37" s="4">
        <f>IFERROR(__xludf.DUMMYFUNCTION("SPLIT(Raw!I127, "","")"),1.37870855148342)</f>
        <v>1.378708551</v>
      </c>
      <c r="B37" s="4">
        <f>IFERROR(__xludf.DUMMYFUNCTION("""COMPUTED_VALUE"""),193.205944798301)</f>
        <v>193.2059448</v>
      </c>
    </row>
    <row r="38">
      <c r="A38" s="4">
        <f>IFERROR(__xludf.DUMMYFUNCTION("SPLIT(Raw!I128, "","")"),1.62303664921465)</f>
        <v>1.623036649</v>
      </c>
      <c r="B38" s="4">
        <f>IFERROR(__xludf.DUMMYFUNCTION("""COMPUTED_VALUE"""),235.668789808917)</f>
        <v>235.6687898</v>
      </c>
    </row>
    <row r="39">
      <c r="A39" s="4">
        <f>IFERROR(__xludf.DUMMYFUNCTION("SPLIT(Raw!I129, "","")"),1.86736474694589)</f>
        <v>1.867364747</v>
      </c>
      <c r="B39" s="4">
        <f>IFERROR(__xludf.DUMMYFUNCTION("""COMPUTED_VALUE"""),203.821656050955)</f>
        <v>203.8216561</v>
      </c>
    </row>
    <row r="40">
      <c r="A40" s="4">
        <f>IFERROR(__xludf.DUMMYFUNCTION("SPLIT(Raw!I130, "","")"),2.11867364746945)</f>
        <v>2.118673647</v>
      </c>
      <c r="B40" s="4">
        <f>IFERROR(__xludf.DUMMYFUNCTION("""COMPUTED_VALUE"""),150.743099787685)</f>
        <v>150.7430998</v>
      </c>
    </row>
    <row r="41">
      <c r="A41" s="4">
        <f>IFERROR(__xludf.DUMMYFUNCTION("SPLIT(Raw!I131, "","")"),2.36998254799301)</f>
        <v>2.369982548</v>
      </c>
      <c r="B41" s="4">
        <f>IFERROR(__xludf.DUMMYFUNCTION("""COMPUTED_VALUE"""),118.895966029724)</f>
        <v>118.895966</v>
      </c>
    </row>
  </sheetData>
  <mergeCells count="1">
    <mergeCell ref="D1:E1"/>
  </mergeCells>
  <drawing r:id="rId1"/>
</worksheet>
</file>